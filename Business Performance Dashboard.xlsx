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trlProps/ctrlProp2.xml" ContentType="application/vnd.ms-excel.controlproperties+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trlProps/ctrlProp3.xml" ContentType="application/vnd.ms-excel.controlproperties+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xml" ContentType="application/vnd.openxmlformats-officedocument.drawing+xml"/>
  <Override PartName="/xl/slicers/slicer4.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USER\AppData\Local\Packages\5319275A.WhatsAppDesktop_cv1g1gvanyjgm\LocalState\sessions\E27780653E0ACF027DCCCE763C444165E8FA39DE\transfers\2026-29\"/>
    </mc:Choice>
  </mc:AlternateContent>
  <xr:revisionPtr revIDLastSave="0" documentId="8_{BEE3082E-9DD8-494A-9494-E895A7EBCB20}" xr6:coauthVersionLast="47" xr6:coauthVersionMax="47" xr10:uidLastSave="{00000000-0000-0000-0000-000000000000}"/>
  <bookViews>
    <workbookView xWindow="-120" yWindow="-120" windowWidth="29040" windowHeight="17520" tabRatio="785" xr2:uid="{C43CFEB0-5504-4C96-8ACD-ACEA14457BCE}"/>
  </bookViews>
  <sheets>
    <sheet name="DASHBOARD" sheetId="1" r:id="rId1"/>
    <sheet name="Sales" sheetId="6" r:id="rId2"/>
    <sheet name="Coverage" sheetId="8" r:id="rId3"/>
    <sheet name="Traffic" sheetId="9" r:id="rId4"/>
    <sheet name="Processing" sheetId="2" r:id="rId5"/>
    <sheet name="Control" sheetId="3" r:id="rId6"/>
    <sheet name="Data" sheetId="4" r:id="rId7"/>
    <sheet name="Resources" sheetId="5" r:id="rId8"/>
  </sheets>
  <definedNames>
    <definedName name="Slicer_Indicators">#N/A</definedName>
    <definedName name="Slicer_Month">#N/A</definedName>
    <definedName name="Slicer_Traffic">#N/A</definedName>
    <definedName name="Slicer_Year">#N/A</definedName>
  </definedNames>
  <calcPr calcId="191029"/>
  <pivotCaches>
    <pivotCache cacheId="545" r:id="rId9"/>
    <pivotCache cacheId="546" r:id="rId10"/>
    <pivotCache cacheId="547" r:id="rId11"/>
    <pivotCache cacheId="548"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 i="2" l="1"/>
  <c r="M30" i="2"/>
  <c r="N30" i="2"/>
  <c r="O30" i="2"/>
  <c r="L30" i="2"/>
  <c r="I21" i="2"/>
  <c r="D16" i="2"/>
  <c r="C16" i="2"/>
  <c r="L27" i="2"/>
  <c r="L24" i="2"/>
  <c r="H21" i="2"/>
  <c r="N19" i="2"/>
  <c r="M19" i="2"/>
  <c r="L21" i="2"/>
  <c r="O25" i="2"/>
  <c r="O26" i="2"/>
  <c r="O20" i="2"/>
  <c r="N20" i="2"/>
  <c r="H28" i="2"/>
  <c r="M25" i="2"/>
  <c r="N21" i="2"/>
  <c r="M22" i="2"/>
  <c r="O21" i="2"/>
  <c r="H20" i="2"/>
  <c r="C25" i="2"/>
  <c r="L28" i="2"/>
  <c r="H18" i="2"/>
  <c r="H25" i="2"/>
  <c r="O22" i="2"/>
  <c r="O27" i="2"/>
  <c r="O23" i="2"/>
  <c r="H29" i="2"/>
  <c r="L23" i="2"/>
  <c r="H22" i="2"/>
  <c r="L20" i="2"/>
  <c r="C24" i="2"/>
  <c r="L25" i="2"/>
  <c r="C28" i="2"/>
  <c r="L18" i="2"/>
  <c r="N27" i="2"/>
  <c r="C18" i="2"/>
  <c r="N26" i="2"/>
  <c r="N18" i="2"/>
  <c r="H19" i="2"/>
  <c r="N24" i="2"/>
  <c r="O18" i="2"/>
  <c r="N28" i="2"/>
  <c r="L29" i="2"/>
  <c r="H23" i="2"/>
  <c r="L26" i="2"/>
  <c r="H27" i="2"/>
  <c r="M27" i="2"/>
  <c r="M28" i="2"/>
  <c r="M29" i="2"/>
  <c r="O19" i="2"/>
  <c r="L22" i="2"/>
  <c r="L19" i="2"/>
  <c r="C19" i="2"/>
  <c r="C26" i="2"/>
  <c r="M23" i="2"/>
  <c r="C23" i="2"/>
  <c r="M24" i="2"/>
  <c r="O24" i="2"/>
  <c r="O28" i="2"/>
  <c r="D18" i="2"/>
  <c r="N23" i="2"/>
  <c r="N29" i="2"/>
  <c r="O29" i="2"/>
  <c r="M21" i="2"/>
  <c r="M18" i="2"/>
  <c r="H26" i="2"/>
  <c r="M20" i="2"/>
  <c r="M26" i="2"/>
  <c r="N25" i="2"/>
  <c r="N22" i="2"/>
  <c r="H24" i="2"/>
  <c r="M12" i="2"/>
  <c r="L10" i="2"/>
  <c r="L9" i="2"/>
  <c r="L11" i="2"/>
  <c r="F19" i="2"/>
  <c r="F28" i="2"/>
  <c r="M8" i="2"/>
  <c r="G18" i="2"/>
  <c r="F25" i="2"/>
  <c r="K3" i="2"/>
  <c r="F20" i="2"/>
  <c r="P8" i="2"/>
  <c r="G15" i="2"/>
  <c r="H15" i="2"/>
  <c r="M15" i="2"/>
  <c r="M9" i="2"/>
  <c r="K5" i="2"/>
  <c r="M13" i="2"/>
  <c r="Q8" i="2"/>
  <c r="F18" i="2"/>
  <c r="F15" i="2"/>
  <c r="E15" i="2"/>
  <c r="M10" i="2"/>
  <c r="L12" i="2"/>
  <c r="K4" i="2"/>
  <c r="R6" i="2"/>
  <c r="L15" i="2"/>
  <c r="M11" i="2"/>
  <c r="M14" i="2"/>
  <c r="F30" i="2"/>
  <c r="L14" i="2"/>
  <c r="G30" i="2"/>
  <c r="K2" i="2"/>
  <c r="L13" i="2"/>
  <c r="L8" i="2"/>
  <c r="F24" i="2"/>
  <c r="N8" i="2" l="1"/>
  <c r="P28" i="2" a="1"/>
  <c r="P28" i="2" s="1"/>
  <c r="P20" i="2" a="1"/>
  <c r="P20" i="2" s="1"/>
  <c r="P25" i="2" a="1"/>
  <c r="P25" i="2" s="1"/>
  <c r="P24" i="2" a="1"/>
  <c r="P24" i="2" s="1"/>
  <c r="P19" i="2" a="1"/>
  <c r="P19" i="2" s="1"/>
  <c r="P18" i="2" a="1"/>
  <c r="P18" i="2" s="1"/>
  <c r="L16" i="2"/>
  <c r="I22" i="2"/>
  <c r="Q12" i="2"/>
  <c r="P10" i="2"/>
  <c r="Q10" i="2" s="1"/>
  <c r="C20" i="2"/>
  <c r="D22" i="2"/>
  <c r="D27" i="2"/>
  <c r="D29" i="2"/>
  <c r="C22" i="2"/>
  <c r="D26" i="2"/>
  <c r="C29" i="2"/>
  <c r="D19" i="2"/>
  <c r="C21" i="2"/>
  <c r="D28" i="2"/>
  <c r="D24" i="2"/>
  <c r="D20" i="2"/>
  <c r="D25" i="2"/>
  <c r="C27" i="2"/>
  <c r="D21" i="2"/>
  <c r="D23" i="2"/>
  <c r="G26" i="2"/>
  <c r="G21" i="2"/>
  <c r="G29" i="2"/>
  <c r="F23" i="2"/>
  <c r="G28" i="2"/>
  <c r="G25" i="2"/>
  <c r="G19" i="2"/>
  <c r="F26" i="2"/>
  <c r="G22" i="2"/>
  <c r="G20" i="2"/>
  <c r="P26" i="2" l="1" a="1"/>
  <c r="P26" i="2" s="1"/>
  <c r="P23" i="2" a="1"/>
  <c r="P23" i="2" s="1"/>
  <c r="B30" i="2" a="1"/>
  <c r="B30" i="2" s="1"/>
  <c r="B23" i="2" s="1"/>
  <c r="E23" i="2" s="1"/>
  <c r="P15" i="2"/>
  <c r="P16" i="2" s="1"/>
  <c r="P13" i="2"/>
  <c r="P14" i="2" s="1"/>
  <c r="F29" i="2"/>
  <c r="G27" i="2"/>
  <c r="F27" i="2"/>
  <c r="F21" i="2"/>
  <c r="F22" i="2"/>
  <c r="G23" i="2"/>
  <c r="G24" i="2"/>
  <c r="P27" i="2" l="1" a="1"/>
  <c r="P27" i="2" s="1"/>
  <c r="P22" i="2" a="1"/>
  <c r="P22" i="2" s="1"/>
  <c r="P29" i="2" a="1"/>
  <c r="P29" i="2" s="1"/>
  <c r="P21" i="2" a="1"/>
  <c r="P21" i="2" s="1"/>
  <c r="B28" i="2"/>
  <c r="E28" i="2" s="1"/>
  <c r="B25" i="2"/>
  <c r="E25" i="2" s="1"/>
  <c r="B18" i="2"/>
  <c r="E18" i="2" s="1"/>
  <c r="B27" i="2"/>
  <c r="E27" i="2" s="1"/>
  <c r="B19" i="2"/>
  <c r="E19" i="2" s="1"/>
  <c r="B22" i="2"/>
  <c r="E22" i="2" s="1"/>
  <c r="B29" i="2"/>
  <c r="E29" i="2" s="1"/>
  <c r="B26" i="2"/>
  <c r="E26" i="2" s="1"/>
  <c r="B21" i="2"/>
  <c r="E21" i="2" s="1"/>
  <c r="B20" i="2"/>
  <c r="E20" i="2" s="1"/>
  <c r="B24" i="2"/>
  <c r="E24" i="2" s="1"/>
  <c r="C1" i="2" l="1"/>
  <c r="D1" i="2"/>
  <c r="B1" i="2"/>
  <c r="I3" i="2"/>
  <c r="I2" i="2"/>
  <c r="Q3" i="2"/>
  <c r="Q4" i="2"/>
  <c r="Q5" i="2"/>
  <c r="Q2" i="2"/>
  <c r="H8" i="2"/>
  <c r="H7" i="2"/>
  <c r="H4" i="2"/>
  <c r="H14" i="2"/>
  <c r="H3" i="2"/>
  <c r="H9" i="2"/>
  <c r="H6" i="2"/>
  <c r="H13" i="2"/>
  <c r="H10" i="2"/>
  <c r="H12" i="2"/>
  <c r="H5" i="2"/>
  <c r="H11" i="2"/>
  <c r="B4" i="2"/>
  <c r="C10" i="2"/>
  <c r="G3" i="2"/>
  <c r="F3" i="2"/>
  <c r="E4" i="2"/>
  <c r="E3" i="2"/>
  <c r="F10" i="2"/>
  <c r="D6" i="2"/>
  <c r="G6" i="2" s="1"/>
  <c r="R2" i="2" l="1"/>
  <c r="R3" i="2"/>
  <c r="R4" i="2"/>
  <c r="R5" i="2"/>
  <c r="B14" i="2"/>
  <c r="E14" i="2" s="1"/>
  <c r="B7" i="2"/>
  <c r="E7" i="2" s="1"/>
  <c r="B9" i="2"/>
  <c r="B5" i="2"/>
  <c r="E5" i="2" s="1"/>
  <c r="B13" i="2"/>
  <c r="E13" i="2" s="1"/>
  <c r="B11" i="2"/>
  <c r="B12" i="2"/>
  <c r="B6" i="2"/>
  <c r="E6" i="2" s="1"/>
  <c r="B10" i="2"/>
  <c r="B3" i="2"/>
  <c r="B8" i="2"/>
  <c r="C9" i="2"/>
  <c r="C7" i="2"/>
  <c r="F7" i="2" s="1"/>
  <c r="C13" i="2"/>
  <c r="F13" i="2" s="1"/>
  <c r="C6" i="2"/>
  <c r="F6" i="2" s="1"/>
  <c r="C8" i="2"/>
  <c r="C5" i="2"/>
  <c r="F5" i="2" s="1"/>
  <c r="C11" i="2"/>
  <c r="C12" i="2"/>
  <c r="C14" i="2"/>
  <c r="F14" i="2" s="1"/>
  <c r="C4" i="2"/>
  <c r="F4" i="2" s="1"/>
  <c r="C3" i="2"/>
  <c r="D14" i="2"/>
  <c r="G14" i="2" s="1"/>
  <c r="E11" i="2"/>
  <c r="D8" i="2"/>
  <c r="D11" i="2"/>
  <c r="F11" i="2"/>
  <c r="D12" i="2"/>
  <c r="E8" i="2"/>
  <c r="F8" i="2"/>
  <c r="D10" i="2"/>
  <c r="F9" i="2"/>
  <c r="D9" i="2"/>
  <c r="D7" i="2"/>
  <c r="G7" i="2" s="1"/>
  <c r="E9" i="2"/>
  <c r="D5" i="2"/>
  <c r="G5" i="2" s="1"/>
  <c r="D3" i="2"/>
  <c r="E10" i="2"/>
  <c r="D13" i="2"/>
  <c r="G13" i="2" s="1"/>
  <c r="D4" i="2"/>
  <c r="G4" i="2" s="1"/>
  <c r="P6" i="2" l="1"/>
  <c r="P2" i="2" s="1"/>
  <c r="L4" i="2"/>
  <c r="L3" i="2"/>
  <c r="L1" i="2"/>
  <c r="G9" i="2"/>
  <c r="G11" i="2"/>
  <c r="G8" i="2"/>
  <c r="E12" i="2"/>
  <c r="F12" i="2"/>
  <c r="G10" i="2"/>
  <c r="G12" i="2"/>
  <c r="P5" i="2" l="1"/>
  <c r="P4" i="2"/>
  <c r="P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<sst xmlns="http://schemas.openxmlformats.org/spreadsheetml/2006/main" count="256" uniqueCount="98">
  <si>
    <t>Referral</t>
  </si>
  <si>
    <t>Social</t>
  </si>
  <si>
    <t>Organic</t>
  </si>
  <si>
    <t>Other</t>
  </si>
  <si>
    <t>Label</t>
  </si>
  <si>
    <t>Traffic Sources</t>
  </si>
  <si>
    <t>North</t>
  </si>
  <si>
    <t>N</t>
  </si>
  <si>
    <t>Northeast</t>
  </si>
  <si>
    <t>NE</t>
  </si>
  <si>
    <t>E</t>
  </si>
  <si>
    <t>East</t>
  </si>
  <si>
    <t>Southeast</t>
  </si>
  <si>
    <t>SE</t>
  </si>
  <si>
    <t>South</t>
  </si>
  <si>
    <t>S</t>
  </si>
  <si>
    <t>Southwest</t>
  </si>
  <si>
    <t>SW</t>
  </si>
  <si>
    <t>West</t>
  </si>
  <si>
    <t>W</t>
  </si>
  <si>
    <t>NW</t>
  </si>
  <si>
    <t>Northwest</t>
  </si>
  <si>
    <t>District</t>
  </si>
  <si>
    <t>Coverage</t>
  </si>
  <si>
    <t>Month</t>
  </si>
  <si>
    <t>JAN</t>
  </si>
  <si>
    <t>FEB</t>
  </si>
  <si>
    <t>MAR</t>
  </si>
  <si>
    <t>APR</t>
  </si>
  <si>
    <t>MAY</t>
  </si>
  <si>
    <t>JUN</t>
  </si>
  <si>
    <t>JUL</t>
  </si>
  <si>
    <t>AUG</t>
  </si>
  <si>
    <t>SEP</t>
  </si>
  <si>
    <t>OCT</t>
  </si>
  <si>
    <t>NOV</t>
  </si>
  <si>
    <t>DEC</t>
  </si>
  <si>
    <t>Revenue</t>
  </si>
  <si>
    <t>Expenses</t>
  </si>
  <si>
    <t>Profit</t>
  </si>
  <si>
    <t>Cursor R</t>
  </si>
  <si>
    <t>Cursor E</t>
  </si>
  <si>
    <t>Cursor P</t>
  </si>
  <si>
    <t>Subscribers</t>
  </si>
  <si>
    <t>Year</t>
  </si>
  <si>
    <t>Sales Target</t>
  </si>
  <si>
    <t>Subscribers Target</t>
  </si>
  <si>
    <t>Leads</t>
  </si>
  <si>
    <t>Deals</t>
  </si>
  <si>
    <t>Row Labels</t>
  </si>
  <si>
    <t>Grand Total</t>
  </si>
  <si>
    <t>Sum of Revenue</t>
  </si>
  <si>
    <t>Sum of Expenses</t>
  </si>
  <si>
    <t>Sum of Sales Target</t>
  </si>
  <si>
    <t>Sum of Subscribers</t>
  </si>
  <si>
    <t>Target</t>
  </si>
  <si>
    <t>toggle</t>
  </si>
  <si>
    <t>Indicators</t>
  </si>
  <si>
    <t>Sum of Profit</t>
  </si>
  <si>
    <t>E993EB</t>
  </si>
  <si>
    <t>394CA9</t>
  </si>
  <si>
    <t>#5987F6</t>
  </si>
  <si>
    <t>#7A59CD</t>
  </si>
  <si>
    <t>#F0F8FD</t>
  </si>
  <si>
    <t>#A2D8F0</t>
  </si>
  <si>
    <t>Sum of Leads</t>
  </si>
  <si>
    <t>Sum of Deals</t>
  </si>
  <si>
    <t>Average of Referral</t>
  </si>
  <si>
    <t>Average of Social</t>
  </si>
  <si>
    <t>Average of Organic</t>
  </si>
  <si>
    <t>Average of Other</t>
  </si>
  <si>
    <t>Average of N</t>
  </si>
  <si>
    <t>Average of NE</t>
  </si>
  <si>
    <t>Average of E</t>
  </si>
  <si>
    <t>Average of SE</t>
  </si>
  <si>
    <t>Average of S</t>
  </si>
  <si>
    <t>Average of SW</t>
  </si>
  <si>
    <t>Average of W</t>
  </si>
  <si>
    <t>Average of NW</t>
  </si>
  <si>
    <t>indent</t>
  </si>
  <si>
    <t>Cursor</t>
  </si>
  <si>
    <t>Conversion</t>
  </si>
  <si>
    <t>Standart</t>
  </si>
  <si>
    <t>Sum of Standart</t>
  </si>
  <si>
    <t>Cursor S</t>
  </si>
  <si>
    <t>indent C</t>
  </si>
  <si>
    <t>#61A7F5</t>
  </si>
  <si>
    <t>Tariffs</t>
  </si>
  <si>
    <t>Premium</t>
  </si>
  <si>
    <t>Sum of Premium</t>
  </si>
  <si>
    <t>Sum of Subscribers Target</t>
  </si>
  <si>
    <t>Coverage Target</t>
  </si>
  <si>
    <t>Max of Coverage Target</t>
  </si>
  <si>
    <t>Sum of Referral</t>
  </si>
  <si>
    <t>Sum of Social</t>
  </si>
  <si>
    <t>Sum of Organic</t>
  </si>
  <si>
    <t>Sum of Other</t>
  </si>
  <si>
    <t>Traffic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</si>
</sst>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 ###\ ###"/>
  </numFmts>
  <fonts count="7"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u/>
      <sz val="28"/>
      <color theme="10"/>
      <name val="Aptos Narrow"/>
      <family val="2"/>
      <scheme val="minor"/>
    </font>
  </fonts>
  <fills count="11">
    <fill>
      <patternFill patternType="none"/>
    </fill>
    <fill>
      <patternFill patternType="gray125"/>
    </fill>
    <fill>
      <patternFill patternType="solid">
        <fgColor theme="4"/>
        <bgColor theme="4"/>
      </patternFill>
    </fill>
    <fill>
      <patternFill patternType="solid">
        <fgColor rgb="FF4C4D8E"/>
        <bgColor indexed="64"/>
      </patternFill>
    </fill>
    <fill>
      <patternFill patternType="solid">
        <fgColor rgb="FF394CA9"/>
        <bgColor indexed="64"/>
      </patternFill>
    </fill>
    <fill>
      <patternFill patternType="solid">
        <fgColor rgb="FFE993EB"/>
        <bgColor indexed="64"/>
      </patternFill>
    </fill>
    <fill>
      <patternFill patternType="solid">
        <fgColor rgb="FF5987F6"/>
        <bgColor indexed="64"/>
      </patternFill>
    </fill>
    <fill>
      <patternFill patternType="solid">
        <fgColor rgb="FF7A59CD"/>
        <bgColor indexed="64"/>
      </patternFill>
    </fill>
    <fill>
      <patternFill patternType="solid">
        <fgColor rgb="FFF0F8FD"/>
        <bgColor indexed="64"/>
      </patternFill>
    </fill>
    <fill>
      <patternFill patternType="solid">
        <fgColor rgb="FFA2D8F0"/>
        <bgColor indexed="64"/>
      </patternFill>
    </fill>
    <fill>
      <patternFill patternType="solid">
        <fgColor rgb="FF61A7F5"/>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cellStyleXfs>
  <cellXfs count="25">
    <xf numFmtId="0" fontId="0" fillId="0" borderId="0" xfId="0"/>
    <xf numFmtId="9" fontId="0" fillId="0" borderId="0" xfId="0" applyNumberFormat="1"/>
    <xf numFmtId="9" fontId="0" fillId="0" borderId="0" xfId="0" applyNumberFormat="1" applyAlignment="1">
      <alignment horizontal="center"/>
    </xf>
    <xf numFmtId="0" fontId="0" fillId="0" borderId="0" xfId="0" applyAlignment="1">
      <alignment horizontal="center"/>
    </xf>
    <xf numFmtId="0" fontId="3" fillId="0" borderId="0" xfId="0" applyFont="1"/>
    <xf numFmtId="0" fontId="3" fillId="0" borderId="0" xfId="0" applyFont="1" applyAlignment="1">
      <alignment horizontal="center"/>
    </xf>
    <xf numFmtId="164" fontId="0" fillId="0" borderId="0" xfId="1" applyNumberFormat="1" applyFont="1"/>
    <xf numFmtId="0" fontId="2" fillId="2" borderId="1" xfId="0" applyFont="1" applyFill="1" applyBorder="1" applyAlignment="1">
      <alignment horizontal="center"/>
    </xf>
    <xf numFmtId="0" fontId="2" fillId="2" borderId="2" xfId="0" applyFont="1" applyFill="1" applyBorder="1" applyAlignment="1">
      <alignment horizontal="center"/>
    </xf>
    <xf numFmtId="9" fontId="0" fillId="0" borderId="0" xfId="2" applyFont="1" applyAlignment="1">
      <alignment horizontal="center"/>
    </xf>
    <xf numFmtId="0" fontId="0" fillId="0" borderId="0" xfId="0" pivotButton="1"/>
    <xf numFmtId="0" fontId="0" fillId="0" borderId="0" xfId="0" applyAlignment="1">
      <alignment horizontal="left"/>
    </xf>
    <xf numFmtId="0" fontId="0" fillId="3" borderId="0" xfId="0" applyFill="1"/>
    <xf numFmtId="0" fontId="0" fillId="4" borderId="0" xfId="0" applyFill="1"/>
    <xf numFmtId="0" fontId="0" fillId="5" borderId="0" xfId="0" applyFill="1"/>
    <xf numFmtId="0" fontId="4" fillId="6" borderId="0" xfId="0" applyFont="1" applyFill="1"/>
    <xf numFmtId="0" fontId="0" fillId="7" borderId="0" xfId="0" applyFill="1"/>
    <xf numFmtId="0" fontId="0" fillId="8" borderId="0" xfId="0" applyFill="1"/>
    <xf numFmtId="0" fontId="0" fillId="9" borderId="0" xfId="0" applyFill="1"/>
    <xf numFmtId="165" fontId="0" fillId="0" borderId="0" xfId="0" applyNumberFormat="1" applyAlignment="1">
      <alignment horizontal="center"/>
    </xf>
    <xf numFmtId="165" fontId="0" fillId="0" borderId="0" xfId="1" applyNumberFormat="1" applyFont="1" applyAlignment="1">
      <alignment horizontal="center"/>
    </xf>
    <xf numFmtId="0" fontId="0" fillId="10" borderId="0" xfId="0" applyFill="1"/>
    <xf numFmtId="0" fontId="2" fillId="2" borderId="3" xfId="0" applyFont="1" applyFill="1" applyBorder="1" applyAlignment="1">
      <alignment horizontal="center"/>
    </xf>
    <xf numFmtId="0" fontId="6" fillId="0" borderId="0" xfId="3" applyFont="1"/>
    <xf numFmtId="0" fontId="0" fillId="0" borderId="0" xfId="0" applyNumberFormat="1"/>
  </cellXfs>
  <cellStyles count="4">
    <cellStyle name="Currency" xfId="1" builtinId="4"/>
    <cellStyle name="Hyperlink" xfId="3" builtinId="8"/>
    <cellStyle name="Normal" xfId="0" builtinId="0"/>
    <cellStyle name="Percent" xfId="2" builtinId="5"/>
  </cellStyles>
  <dxfs count="38">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rgb="FFE2DEFF"/>
        </patternFill>
      </fill>
      <border diagonalUp="0" diagonalDown="0">
        <left/>
        <right/>
        <top/>
        <bottom/>
        <vertical/>
        <horizontal/>
      </border>
    </dxf>
    <dxf>
      <font>
        <b/>
        <color theme="1"/>
      </font>
      <border>
        <bottom style="thin">
          <color theme="4"/>
        </bottom>
        <vertical/>
        <horizontal/>
      </border>
    </dxf>
    <dxf>
      <font>
        <color theme="1"/>
      </font>
      <fill>
        <patternFill>
          <bgColor rgb="FF2C3977"/>
        </patternFill>
      </fill>
      <border diagonalUp="0" diagonalDown="0">
        <left/>
        <right/>
        <top/>
        <bottom/>
        <vertical/>
        <horizontal/>
      </border>
    </dxf>
    <dxf>
      <font>
        <b/>
        <color theme="1"/>
      </font>
      <border>
        <bottom style="thin">
          <color theme="4"/>
        </bottom>
        <vertical/>
        <horizontal/>
      </border>
    </dxf>
    <dxf>
      <font>
        <color theme="1"/>
      </font>
      <fill>
        <patternFill>
          <bgColor rgb="FF2A3E7E"/>
        </patternFill>
      </fill>
      <border diagonalUp="0" diagonalDown="0">
        <left/>
        <right/>
        <top/>
        <bottom/>
        <vertical/>
        <horizontal/>
      </border>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rgb="FFE2DEFF"/>
        </patternFill>
      </fill>
      <border diagonalUp="0" diagonalDown="0">
        <left/>
        <right/>
        <top/>
        <bottom/>
        <vertical/>
        <horizontal/>
      </border>
    </dxf>
    <dxf>
      <font>
        <b/>
        <color theme="1"/>
      </font>
      <border>
        <bottom style="thin">
          <color theme="4"/>
        </bottom>
        <vertical/>
        <horizontal/>
      </border>
    </dxf>
    <dxf>
      <font>
        <color theme="1"/>
      </font>
      <fill>
        <patternFill>
          <bgColor rgb="FF4C4D8E"/>
        </patternFill>
      </fill>
      <border diagonalUp="0" diagonalDown="0">
        <left/>
        <right/>
        <top/>
        <bottom/>
        <vertical/>
        <horizontal/>
      </border>
    </dxf>
  </dxfs>
  <tableStyles count="7" defaultTableStyle="TableStyleMedium2" defaultPivotStyle="PivotStyleLight16">
    <tableStyle name="SlicerStyleLight1 2" pivot="0" table="0" count="10" xr9:uid="{B5DE39B0-1E30-42F3-ABB7-C91EBA68690C}">
      <tableStyleElement type="wholeTable" dxfId="37"/>
      <tableStyleElement type="headerRow" dxfId="36"/>
    </tableStyle>
    <tableStyle name="SlicerStyleLight1 2 2" pivot="0" table="0" count="10" xr9:uid="{0F8A5F16-A458-4E7D-A9AD-62F2B5DDA4B1}">
      <tableStyleElement type="wholeTable" dxfId="35"/>
      <tableStyleElement type="headerRow" dxfId="34"/>
    </tableStyle>
    <tableStyle name="SlicerStyleLight1 2 2 2" pivot="0" table="0" count="10" xr9:uid="{CB2D1D23-840C-4062-AEC5-86E72878C69F}">
      <tableStyleElement type="wholeTable" dxfId="33"/>
      <tableStyleElement type="headerRow" dxfId="32"/>
    </tableStyle>
    <tableStyle name="SlicerStyleLight1 3" pivot="0" table="0" count="10" xr9:uid="{106E871A-EE5A-457F-A75B-89491A7DFC99}">
      <tableStyleElement type="wholeTable" dxfId="31"/>
      <tableStyleElement type="headerRow" dxfId="30"/>
    </tableStyle>
    <tableStyle name="SlicerStyleLight1 3 2" pivot="0" table="0" count="10" xr9:uid="{62208F10-A4DC-4C70-B4DD-E76E5CCAD749}">
      <tableStyleElement type="wholeTable" dxfId="29"/>
      <tableStyleElement type="headerRow" dxfId="28"/>
    </tableStyle>
    <tableStyle name="SlicerStyleLight1 3 3" pivot="0" table="0" count="10" xr9:uid="{363F3BE1-2CB8-47B4-9AAD-4CC284D5434B}">
      <tableStyleElement type="wholeTable" dxfId="27"/>
      <tableStyleElement type="headerRow" dxfId="26"/>
    </tableStyle>
    <tableStyle name="SlicerStyleLight1 3 3 2" pivot="0" table="0" count="10" xr9:uid="{588D5FD5-CCAF-4AFA-95CA-0E6FFE5AC1BC}">
      <tableStyleElement type="wholeTable" dxfId="25"/>
      <tableStyleElement type="headerRow" dxfId="24"/>
    </tableStyle>
  </tableStyles>
  <colors>
    <mruColors>
      <color rgb="FFE993EB"/>
      <color rgb="FFE45181"/>
      <color rgb="FFFF6600"/>
      <color rgb="FF8278FC"/>
      <color rgb="FF00B0F0"/>
      <color rgb="FF6B92F1"/>
      <color rgb="FFEB97ED"/>
      <color rgb="FF0D328D"/>
      <color rgb="FFAEABFE"/>
      <color rgb="FFF0ECFF"/>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7"/>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7"/>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7"/>
            <color theme="0"/>
          </font>
          <fill>
            <gradientFill degree="90">
              <stop position="0">
                <color rgb="FF00B0F0"/>
              </stop>
              <stop position="1">
                <color rgb="FF6C57E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7"/>
            <color theme="1"/>
          </font>
          <fill>
            <gradientFill degree="90">
              <stop position="0">
                <color rgb="FFF0F8FD"/>
              </stop>
              <stop position="1">
                <color rgb="FFA2D8F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7"/>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7"/>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7"/>
            <color theme="0"/>
          </font>
          <fill>
            <gradientFill degree="90">
              <stop position="0">
                <color rgb="FF00B0F0"/>
              </stop>
              <stop position="1">
                <color rgb="FF6C57E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7"/>
            <color theme="1"/>
          </font>
          <fill>
            <gradientFill degree="90">
              <stop position="0">
                <color rgb="FFF0F8FD"/>
              </stop>
              <stop position="1">
                <color rgb="FFA2D8F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3" tint="9.9948118533890809E-2"/>
          </font>
          <fill>
            <gradientFill degree="90">
              <stop position="0">
                <color rgb="FFF0F8FD"/>
              </stop>
              <stop position="1">
                <color rgb="FFA2D8F0"/>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0"/>
          </font>
          <fill>
            <gradientFill degree="90">
              <stop position="0">
                <color rgb="FF5987F6"/>
              </stop>
              <stop position="1">
                <color rgb="FF7A59CD"/>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7"/>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7"/>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7"/>
            <color theme="3" tint="9.9917600024414813E-2"/>
          </font>
          <fill>
            <gradientFill degree="90">
              <stop position="0">
                <color rgb="FFF0F8FD"/>
              </stop>
              <stop position="1">
                <color rgb="FFA2D8F0"/>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7"/>
            <color theme="0"/>
          </font>
          <fill>
            <gradientFill degree="90">
              <stop position="0">
                <color rgb="FF5987F6"/>
              </stop>
              <stop position="1">
                <color rgb="FF7A59CD"/>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00B0F0"/>
              </stop>
              <stop position="1">
                <color rgb="FF6C57E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rgb="FF000000"/>
          </font>
          <fill>
            <patternFill patternType="solid">
              <fgColor rgb="FFFFFFFF"/>
              <bgColor rgb="FFCCC4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00B0F0"/>
              </stop>
              <stop position="1">
                <color rgb="FF6C57E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rgb="FF000000"/>
          </font>
          <fill>
            <patternFill patternType="solid">
              <fgColor rgb="FFFFFFFF"/>
              <bgColor rgb="FFCCC4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5987F6"/>
              </stop>
              <stop position="1">
                <color rgb="FF7A59CD"/>
              </stop>
            </gradientFill>
          </fill>
          <border diagonalUp="0" diagonalDown="0">
            <left style="thin">
              <color rgb="FF324385"/>
            </left>
            <right style="thin">
              <color rgb="FF324385"/>
            </right>
            <top style="thin">
              <color rgb="FF324385"/>
            </top>
            <bottom style="thin">
              <color rgb="FF324385"/>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rgb="FF000000"/>
          </font>
          <fill>
            <patternFill patternType="solid">
              <fgColor rgb="FFFFFFFF"/>
              <bgColor rgb="FF817EC4"/>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1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image" Target="../media/image2.png"/></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2.xml"/><Relationship Id="rId1" Type="http://schemas.microsoft.com/office/2011/relationships/chartStyle" Target="style12.xml"/><Relationship Id="rId4" Type="http://schemas.openxmlformats.org/officeDocument/2006/relationships/image" Target="../media/image2.png"/></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7.xml"/><Relationship Id="rId1" Type="http://schemas.microsoft.com/office/2011/relationships/chartStyle" Target="style17.xml"/><Relationship Id="rId4" Type="http://schemas.openxmlformats.org/officeDocument/2006/relationships/image" Target="../media/image2.png"/></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70000"/>
                </a:prstClr>
              </a:outerShdw>
            </a:effectLst>
          </c:spPr>
          <c:dPt>
            <c:idx val="0"/>
            <c:bubble3D val="0"/>
            <c:spPr>
              <a:gradFill>
                <a:gsLst>
                  <a:gs pos="0">
                    <a:schemeClr val="accent5">
                      <a:lumMod val="60000"/>
                      <a:lumOff val="40000"/>
                    </a:schemeClr>
                  </a:gs>
                  <a:gs pos="97000">
                    <a:srgbClr val="A62C97"/>
                  </a:gs>
                </a:gsLst>
                <a:lin ang="3000000" scaled="0"/>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1-B413-43F7-897A-5170162B7C1F}"/>
              </c:ext>
            </c:extLst>
          </c:dPt>
          <c:dPt>
            <c:idx val="1"/>
            <c:bubble3D val="0"/>
            <c:spPr>
              <a:gradFill>
                <a:gsLst>
                  <a:gs pos="100000">
                    <a:srgbClr val="61A7F5"/>
                  </a:gs>
                  <a:gs pos="0">
                    <a:srgbClr val="4077E3"/>
                  </a:gs>
                </a:gsLst>
                <a:lin ang="5400000" scaled="1"/>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3-B413-43F7-897A-5170162B7C1F}"/>
              </c:ext>
            </c:extLst>
          </c:dPt>
          <c:dPt>
            <c:idx val="2"/>
            <c:bubble3D val="0"/>
            <c:spPr>
              <a:gradFill>
                <a:gsLst>
                  <a:gs pos="0">
                    <a:srgbClr val="8070E2"/>
                  </a:gs>
                  <a:gs pos="100000">
                    <a:srgbClr val="5A4EBD"/>
                  </a:gs>
                </a:gsLst>
                <a:lin ang="5400000" scaled="1"/>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5-B413-43F7-897A-5170162B7C1F}"/>
              </c:ext>
            </c:extLst>
          </c:dPt>
          <c:dPt>
            <c:idx val="3"/>
            <c:bubble3D val="0"/>
            <c:spPr>
              <a:noFill/>
              <a:ln w="19050">
                <a:noFill/>
              </a:ln>
              <a:effectLst>
                <a:innerShdw blurRad="114300">
                  <a:prstClr val="black"/>
                </a:innerShdw>
              </a:effectLst>
            </c:spPr>
            <c:extLst>
              <c:ext xmlns:c16="http://schemas.microsoft.com/office/drawing/2014/chart" uri="{C3380CC4-5D6E-409C-BE32-E72D297353CC}">
                <c16:uniqueId val="{00000007-B413-43F7-897A-5170162B7C1F}"/>
              </c:ext>
            </c:extLst>
          </c:dPt>
          <c:cat>
            <c:strRef>
              <c:f>Processing!$J$2:$J$5</c:f>
              <c:strCache>
                <c:ptCount val="4"/>
                <c:pt idx="0">
                  <c:v>Referral</c:v>
                </c:pt>
                <c:pt idx="1">
                  <c:v>Social</c:v>
                </c:pt>
                <c:pt idx="2">
                  <c:v>Organic</c:v>
                </c:pt>
                <c:pt idx="3">
                  <c:v>Other</c:v>
                </c:pt>
              </c:strCache>
            </c:strRef>
          </c:cat>
          <c:val>
            <c:numRef>
              <c:f>Processing!$K$2:$K$5</c:f>
              <c:numCache>
                <c:formatCode>0%</c:formatCode>
                <c:ptCount val="4"/>
                <c:pt idx="0">
                  <c:v>0.12666666666666668</c:v>
                </c:pt>
                <c:pt idx="1">
                  <c:v>0.39333333333333331</c:v>
                </c:pt>
                <c:pt idx="2">
                  <c:v>0.17333333333333334</c:v>
                </c:pt>
                <c:pt idx="3">
                  <c:v>0.30666666666666664</c:v>
                </c:pt>
              </c:numCache>
            </c:numRef>
          </c:val>
          <c:extLst>
            <c:ext xmlns:c16="http://schemas.microsoft.com/office/drawing/2014/chart" uri="{C3380CC4-5D6E-409C-BE32-E72D297353CC}">
              <c16:uniqueId val="{00000008-B413-43F7-897A-5170162B7C1F}"/>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flip="none" rotWithShape="1">
              <a:gsLst>
                <a:gs pos="9000">
                  <a:srgbClr val="B471EC">
                    <a:alpha val="80000"/>
                  </a:srgbClr>
                </a:gs>
                <a:gs pos="100000">
                  <a:srgbClr val="5B59D0">
                    <a:alpha val="70000"/>
                  </a:srgbClr>
                </a:gs>
              </a:gsLst>
              <a:lin ang="5400000" scaled="1"/>
              <a:tileRect/>
            </a:gradFill>
            <a:ln>
              <a:noFill/>
            </a:ln>
            <a:effectLst>
              <a:outerShdw blurRad="50800" dist="38100" dir="8100000" algn="tr" rotWithShape="0">
                <a:prstClr val="black">
                  <a:alpha val="40000"/>
                </a:prstClr>
              </a:outerShdw>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0.80000000000000016</c:v>
                </c:pt>
                <c:pt idx="1">
                  <c:v>0.76666666666666661</c:v>
                </c:pt>
                <c:pt idx="2">
                  <c:v>0.76666666666666661</c:v>
                </c:pt>
                <c:pt idx="3">
                  <c:v>0.73333333333333339</c:v>
                </c:pt>
                <c:pt idx="4">
                  <c:v>0.73333333333333339</c:v>
                </c:pt>
                <c:pt idx="5">
                  <c:v>0.73333333333333339</c:v>
                </c:pt>
                <c:pt idx="6">
                  <c:v>0.69999999999999984</c:v>
                </c:pt>
                <c:pt idx="7">
                  <c:v>0.69999999999999984</c:v>
                </c:pt>
              </c:numCache>
            </c:numRef>
          </c:val>
          <c:extLst>
            <c:ext xmlns:c16="http://schemas.microsoft.com/office/drawing/2014/chart" uri="{C3380CC4-5D6E-409C-BE32-E72D297353CC}">
              <c16:uniqueId val="{00000000-1C0F-41BC-BF02-3D4872B274F5}"/>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626DAE"/>
              </a:solidFill>
              <a:round/>
            </a:ln>
            <a:effectLst/>
          </c:spPr>
        </c:majorGridlines>
        <c:numFmt formatCode="0%" sourceLinked="1"/>
        <c:majorTickMark val="out"/>
        <c:minorTickMark val="none"/>
        <c:tickLblPos val="nextTo"/>
        <c:crossAx val="13381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0-70CC-4B80-B7AE-DAD39CF732D0}"/>
            </c:ext>
          </c:extLst>
        </c:ser>
        <c:ser>
          <c:idx val="1"/>
          <c:order val="1"/>
          <c:spPr>
            <a:solidFill>
              <a:schemeClr val="accent2"/>
            </a:solidFill>
            <a:ln w="127000">
              <a:gradFill>
                <a:gsLst>
                  <a:gs pos="65000">
                    <a:srgbClr val="5987F6"/>
                  </a:gs>
                  <a:gs pos="100000">
                    <a:srgbClr val="7A59CD"/>
                  </a:gs>
                </a:gsLst>
                <a:lin ang="5400000" scaled="1"/>
              </a:gradFill>
            </a:ln>
            <a:effectLst>
              <a:outerShdw blurRad="50800" dist="38100" dir="8100000" algn="tr" rotWithShape="0">
                <a:prstClr val="black">
                  <a:alpha val="40000"/>
                </a:prstClr>
              </a:outerShdw>
            </a:effectLst>
          </c:spPr>
          <c:invertIfNegative val="0"/>
          <c:val>
            <c:numRef>
              <c:f>Processing!$Q$2:$Q$5</c:f>
              <c:numCache>
                <c:formatCode>#\ ###\ ###</c:formatCode>
                <c:ptCount val="4"/>
                <c:pt idx="0">
                  <c:v>3873</c:v>
                </c:pt>
                <c:pt idx="1">
                  <c:v>9235</c:v>
                </c:pt>
                <c:pt idx="2">
                  <c:v>15418</c:v>
                </c:pt>
                <c:pt idx="3">
                  <c:v>21089</c:v>
                </c:pt>
              </c:numCache>
            </c:numRef>
          </c:val>
          <c:extLst>
            <c:ext xmlns:c16="http://schemas.microsoft.com/office/drawing/2014/chart" uri="{C3380CC4-5D6E-409C-BE32-E72D297353CC}">
              <c16:uniqueId val="{00000001-70CC-4B80-B7AE-DAD39CF732D0}"/>
            </c:ext>
          </c:extLst>
        </c:ser>
        <c:dLbls>
          <c:showLegendKey val="0"/>
          <c:showVal val="0"/>
          <c:showCatName val="0"/>
          <c:showSerName val="0"/>
          <c:showPercent val="0"/>
          <c:showBubbleSize val="0"/>
        </c:dLbls>
        <c:gapWidth val="220"/>
        <c:overlap val="100"/>
        <c:axId val="1015113280"/>
        <c:axId val="1015110400"/>
      </c:barChart>
      <c:barChart>
        <c:barDir val="col"/>
        <c:grouping val="stacked"/>
        <c:varyColors val="0"/>
        <c:ser>
          <c:idx val="2"/>
          <c:order val="2"/>
          <c:tx>
            <c:v>Indent Cursor</c:v>
          </c:tx>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2-70CC-4B80-B7AE-DAD39CF732D0}"/>
            </c:ext>
          </c:extLst>
        </c:ser>
        <c:ser>
          <c:idx val="3"/>
          <c:order val="3"/>
          <c:tx>
            <c:v>Cursor</c:v>
          </c:tx>
          <c:spPr>
            <a:solidFill>
              <a:schemeClr val="accent4"/>
            </a:solidFill>
            <a:ln w="127000">
              <a:gradFill>
                <a:gsLst>
                  <a:gs pos="0">
                    <a:schemeClr val="accent1">
                      <a:lumMod val="5000"/>
                      <a:lumOff val="95000"/>
                    </a:schemeClr>
                  </a:gs>
                  <a:gs pos="62000">
                    <a:schemeClr val="accent1">
                      <a:lumMod val="30000"/>
                      <a:lumOff val="70000"/>
                    </a:schemeClr>
                  </a:gs>
                </a:gsLst>
                <a:lin ang="5400000" scaled="1"/>
              </a:gradFill>
            </a:ln>
            <a:effectLst/>
          </c:spPr>
          <c:invertIfNegative val="0"/>
          <c:val>
            <c:numRef>
              <c:f>Processing!$R$2:$R$5</c:f>
              <c:numCache>
                <c:formatCode>#\ ###\ ###</c:formatCode>
                <c:ptCount val="4"/>
                <c:pt idx="0">
                  <c:v>#N/A</c:v>
                </c:pt>
                <c:pt idx="1">
                  <c:v>#N/A</c:v>
                </c:pt>
                <c:pt idx="2">
                  <c:v>15418</c:v>
                </c:pt>
                <c:pt idx="3">
                  <c:v>#N/A</c:v>
                </c:pt>
              </c:numCache>
            </c:numRef>
          </c:val>
          <c:extLst>
            <c:ext xmlns:c16="http://schemas.microsoft.com/office/drawing/2014/chart" uri="{C3380CC4-5D6E-409C-BE32-E72D297353CC}">
              <c16:uniqueId val="{00000003-70CC-4B80-B7AE-DAD39CF732D0}"/>
            </c:ext>
          </c:extLst>
        </c:ser>
        <c:dLbls>
          <c:showLegendKey val="0"/>
          <c:showVal val="0"/>
          <c:showCatName val="0"/>
          <c:showSerName val="0"/>
          <c:showPercent val="0"/>
          <c:showBubbleSize val="0"/>
        </c:dLbls>
        <c:gapWidth val="220"/>
        <c:overlap val="100"/>
        <c:axId val="1338170112"/>
        <c:axId val="1338171552"/>
      </c:barChart>
      <c:catAx>
        <c:axId val="1015113280"/>
        <c:scaling>
          <c:orientation val="minMax"/>
        </c:scaling>
        <c:delete val="1"/>
        <c:axPos val="b"/>
        <c:majorTickMark val="none"/>
        <c:minorTickMark val="none"/>
        <c:tickLblPos val="nextTo"/>
        <c:crossAx val="1015110400"/>
        <c:crosses val="autoZero"/>
        <c:auto val="1"/>
        <c:lblAlgn val="ctr"/>
        <c:lblOffset val="100"/>
        <c:noMultiLvlLbl val="0"/>
      </c:catAx>
      <c:valAx>
        <c:axId val="1015110400"/>
        <c:scaling>
          <c:orientation val="minMax"/>
        </c:scaling>
        <c:delete val="1"/>
        <c:axPos val="l"/>
        <c:numFmt formatCode="General" sourceLinked="1"/>
        <c:majorTickMark val="none"/>
        <c:minorTickMark val="none"/>
        <c:tickLblPos val="nextTo"/>
        <c:crossAx val="1015113280"/>
        <c:crosses val="autoZero"/>
        <c:crossBetween val="between"/>
      </c:valAx>
      <c:valAx>
        <c:axId val="1338171552"/>
        <c:scaling>
          <c:orientation val="minMax"/>
        </c:scaling>
        <c:delete val="1"/>
        <c:axPos val="r"/>
        <c:numFmt formatCode="General" sourceLinked="1"/>
        <c:majorTickMark val="out"/>
        <c:minorTickMark val="none"/>
        <c:tickLblPos val="nextTo"/>
        <c:crossAx val="1338170112"/>
        <c:crosses val="max"/>
        <c:crossBetween val="between"/>
      </c:valAx>
      <c:catAx>
        <c:axId val="1338170112"/>
        <c:scaling>
          <c:orientation val="minMax"/>
        </c:scaling>
        <c:delete val="1"/>
        <c:axPos val="b"/>
        <c:majorTickMark val="out"/>
        <c:minorTickMark val="none"/>
        <c:tickLblPos val="nextTo"/>
        <c:crossAx val="13381715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Processing!$B$2</c:f>
              <c:strCache>
                <c:ptCount val="1"/>
                <c:pt idx="0">
                  <c:v>Revenue</c:v>
                </c:pt>
              </c:strCache>
            </c:strRef>
          </c:tx>
          <c:spPr>
            <a:ln w="25400" cap="rnd">
              <a:solidFill>
                <a:srgbClr val="00B0F0"/>
              </a:solidFill>
              <a:round/>
            </a:ln>
            <a:effectLst>
              <a:outerShdw blurRad="50800" dist="38100" dir="5400000" algn="t" rotWithShape="0">
                <a:prstClr val="black">
                  <a:alpha val="40000"/>
                </a:prstClr>
              </a:outerShdw>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Processing!$B$3:$B$14</c:f>
              <c:numCache>
                <c:formatCode>_("$"* #,##0_);_("$"* \(#,##0\);_("$"* "-"??_);_(@_)</c:formatCode>
                <c:ptCount val="12"/>
                <c:pt idx="0">
                  <c:v>59019</c:v>
                </c:pt>
                <c:pt idx="1">
                  <c:v>81135</c:v>
                </c:pt>
                <c:pt idx="2">
                  <c:v>84342</c:v>
                </c:pt>
                <c:pt idx="3">
                  <c:v>73245</c:v>
                </c:pt>
                <c:pt idx="4">
                  <c:v>57139</c:v>
                </c:pt>
                <c:pt idx="5">
                  <c:v>44835</c:v>
                </c:pt>
                <c:pt idx="6">
                  <c:v>52221</c:v>
                </c:pt>
                <c:pt idx="7">
                  <c:v>96718</c:v>
                </c:pt>
                <c:pt idx="8">
                  <c:v>111028</c:v>
                </c:pt>
                <c:pt idx="9">
                  <c:v>105644</c:v>
                </c:pt>
                <c:pt idx="10">
                  <c:v>77026</c:v>
                </c:pt>
                <c:pt idx="11">
                  <c:v>90717</c:v>
                </c:pt>
              </c:numCache>
            </c:numRef>
          </c:val>
          <c:smooth val="1"/>
          <c:extLst>
            <c:ext xmlns:c16="http://schemas.microsoft.com/office/drawing/2014/chart" uri="{C3380CC4-5D6E-409C-BE32-E72D297353CC}">
              <c16:uniqueId val="{00000000-D098-40C9-8CAC-85B53071BE1C}"/>
            </c:ext>
          </c:extLst>
        </c:ser>
        <c:ser>
          <c:idx val="1"/>
          <c:order val="1"/>
          <c:tx>
            <c:strRef>
              <c:f>Processing!$C$2</c:f>
              <c:strCache>
                <c:ptCount val="1"/>
                <c:pt idx="0">
                  <c:v>Expenses</c:v>
                </c:pt>
              </c:strCache>
            </c:strRef>
          </c:tx>
          <c:spPr>
            <a:ln w="25400" cap="rnd">
              <a:solidFill>
                <a:srgbClr val="EE0078"/>
              </a:solidFill>
              <a:round/>
            </a:ln>
            <a:effectLst>
              <a:outerShdw blurRad="50800" dist="38100" dir="5400000" algn="t" rotWithShape="0">
                <a:prstClr val="black">
                  <a:alpha val="40000"/>
                </a:prstClr>
              </a:outerShdw>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Processing!$C$3:$C$14</c:f>
              <c:numCache>
                <c:formatCode>_("$"* #,##0_);_("$"* \(#,##0\);_("$"* "-"??_);_(@_)</c:formatCode>
                <c:ptCount val="12"/>
                <c:pt idx="0">
                  <c:v>67541</c:v>
                </c:pt>
                <c:pt idx="1">
                  <c:v>62626</c:v>
                </c:pt>
                <c:pt idx="2">
                  <c:v>68752</c:v>
                </c:pt>
                <c:pt idx="3">
                  <c:v>78653</c:v>
                </c:pt>
                <c:pt idx="4">
                  <c:v>73540</c:v>
                </c:pt>
                <c:pt idx="5">
                  <c:v>61426</c:v>
                </c:pt>
                <c:pt idx="6">
                  <c:v>58031</c:v>
                </c:pt>
                <c:pt idx="7">
                  <c:v>65713</c:v>
                </c:pt>
                <c:pt idx="8">
                  <c:v>80943</c:v>
                </c:pt>
                <c:pt idx="9">
                  <c:v>89819</c:v>
                </c:pt>
                <c:pt idx="10">
                  <c:v>85029</c:v>
                </c:pt>
                <c:pt idx="11">
                  <c:v>74016</c:v>
                </c:pt>
              </c:numCache>
            </c:numRef>
          </c:val>
          <c:smooth val="1"/>
          <c:extLst>
            <c:ext xmlns:c16="http://schemas.microsoft.com/office/drawing/2014/chart" uri="{C3380CC4-5D6E-409C-BE32-E72D297353CC}">
              <c16:uniqueId val="{00000001-D098-40C9-8CAC-85B53071BE1C}"/>
            </c:ext>
          </c:extLst>
        </c:ser>
        <c:ser>
          <c:idx val="2"/>
          <c:order val="2"/>
          <c:tx>
            <c:strRef>
              <c:f>Processing!$D$2</c:f>
              <c:strCache>
                <c:ptCount val="1"/>
                <c:pt idx="0">
                  <c:v>Profit</c:v>
                </c:pt>
              </c:strCache>
            </c:strRef>
          </c:tx>
          <c:spPr>
            <a:ln w="25400" cap="rnd">
              <a:solidFill>
                <a:srgbClr val="01F3FF"/>
              </a:solidFill>
              <a:round/>
            </a:ln>
            <a:effectLst>
              <a:outerShdw blurRad="50800" dist="38100" dir="5400000" algn="t" rotWithShape="0">
                <a:prstClr val="black">
                  <a:alpha val="40000"/>
                </a:prstClr>
              </a:outerShdw>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Processing!$D$3:$D$14</c:f>
              <c:numCache>
                <c:formatCode>_("$"* #,##0_);_("$"* \(#,##0\);_("$"* "-"??_);_(@_)</c:formatCode>
                <c:ptCount val="12"/>
                <c:pt idx="0">
                  <c:v>-8522</c:v>
                </c:pt>
                <c:pt idx="1">
                  <c:v>18509</c:v>
                </c:pt>
                <c:pt idx="2">
                  <c:v>15590</c:v>
                </c:pt>
                <c:pt idx="3">
                  <c:v>-5408</c:v>
                </c:pt>
                <c:pt idx="4">
                  <c:v>-16401</c:v>
                </c:pt>
                <c:pt idx="5">
                  <c:v>-16591</c:v>
                </c:pt>
                <c:pt idx="6">
                  <c:v>-5810</c:v>
                </c:pt>
                <c:pt idx="7">
                  <c:v>31005</c:v>
                </c:pt>
                <c:pt idx="8">
                  <c:v>30085</c:v>
                </c:pt>
                <c:pt idx="9">
                  <c:v>15825</c:v>
                </c:pt>
                <c:pt idx="10">
                  <c:v>-8003</c:v>
                </c:pt>
                <c:pt idx="11">
                  <c:v>16701</c:v>
                </c:pt>
              </c:numCache>
            </c:numRef>
          </c:val>
          <c:smooth val="1"/>
          <c:extLst>
            <c:ext xmlns:c16="http://schemas.microsoft.com/office/drawing/2014/chart" uri="{C3380CC4-5D6E-409C-BE32-E72D297353CC}">
              <c16:uniqueId val="{00000002-D098-40C9-8CAC-85B53071BE1C}"/>
            </c:ext>
          </c:extLst>
        </c:ser>
        <c:ser>
          <c:idx val="6"/>
          <c:order val="6"/>
          <c:tx>
            <c:strRef>
              <c:f>Processing!$H$2</c:f>
              <c:strCache>
                <c:ptCount val="1"/>
                <c:pt idx="0">
                  <c:v>Sales Target</c:v>
                </c:pt>
              </c:strCache>
            </c:strRef>
          </c:tx>
          <c:spPr>
            <a:ln w="9525" cap="rnd">
              <a:solidFill>
                <a:schemeClr val="bg1"/>
              </a:solidFill>
              <a:round/>
            </a:ln>
            <a:effectLst/>
          </c:spPr>
          <c:marker>
            <c:symbol val="none"/>
          </c:marker>
          <c:dLbls>
            <c:dLbl>
              <c:idx val="0"/>
              <c:dLblPos val="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6F6B-4779-A3CD-1A24DF87B2C5}"/>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6B-4779-A3CD-1A24DF87B2C5}"/>
                </c:ext>
              </c:extLst>
            </c:dLbl>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Processing!$H$3:$H$14</c:f>
              <c:numCache>
                <c:formatCode>_("$"* #,##0_);_("$"* \(#,##0\);_("$"* "-"??_);_(@_)</c:formatCode>
                <c:ptCount val="12"/>
                <c:pt idx="0">
                  <c:v>75000</c:v>
                </c:pt>
                <c:pt idx="1">
                  <c:v>75000</c:v>
                </c:pt>
                <c:pt idx="2">
                  <c:v>75000</c:v>
                </c:pt>
                <c:pt idx="3">
                  <c:v>75000</c:v>
                </c:pt>
                <c:pt idx="4">
                  <c:v>75000</c:v>
                </c:pt>
                <c:pt idx="5">
                  <c:v>75000</c:v>
                </c:pt>
                <c:pt idx="6">
                  <c:v>75000</c:v>
                </c:pt>
                <c:pt idx="7">
                  <c:v>75000</c:v>
                </c:pt>
                <c:pt idx="8">
                  <c:v>75000</c:v>
                </c:pt>
                <c:pt idx="9">
                  <c:v>75000</c:v>
                </c:pt>
                <c:pt idx="10">
                  <c:v>75000</c:v>
                </c:pt>
                <c:pt idx="11">
                  <c:v>75000</c:v>
                </c:pt>
              </c:numCache>
            </c:numRef>
          </c:val>
          <c:smooth val="0"/>
          <c:extLst>
            <c:ext xmlns:c16="http://schemas.microsoft.com/office/drawing/2014/chart" uri="{C3380CC4-5D6E-409C-BE32-E72D297353CC}">
              <c16:uniqueId val="{00000000-6F6B-4779-A3CD-1A24DF87B2C5}"/>
            </c:ext>
          </c:extLst>
        </c:ser>
        <c:dLbls>
          <c:showLegendKey val="0"/>
          <c:showVal val="0"/>
          <c:showCatName val="0"/>
          <c:showSerName val="0"/>
          <c:showPercent val="0"/>
          <c:showBubbleSize val="0"/>
        </c:dLbls>
        <c:marker val="1"/>
        <c:smooth val="0"/>
        <c:axId val="1195768800"/>
        <c:axId val="1195787040"/>
      </c:lineChart>
      <c:scatterChart>
        <c:scatterStyle val="lineMarker"/>
        <c:varyColors val="0"/>
        <c:ser>
          <c:idx val="3"/>
          <c:order val="3"/>
          <c:tx>
            <c:strRef>
              <c:f>Processing!$E$2</c:f>
              <c:strCache>
                <c:ptCount val="1"/>
                <c:pt idx="0">
                  <c:v>Cursor R</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00B0F0"/>
                </a:solidFill>
              </a:ln>
              <a:effectLst>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Processing!$E$3:$E$14</c:f>
                <c:numCache>
                  <c:formatCode>General</c:formatCode>
                  <c:ptCount val="12"/>
                  <c:pt idx="0">
                    <c:v>#N/A</c:v>
                  </c:pt>
                  <c:pt idx="1">
                    <c:v>81135</c:v>
                  </c:pt>
                  <c:pt idx="2">
                    <c:v>#N/A</c:v>
                  </c:pt>
                  <c:pt idx="3">
                    <c:v>73245</c:v>
                  </c:pt>
                  <c:pt idx="4">
                    <c:v>#N/A</c:v>
                  </c:pt>
                  <c:pt idx="5">
                    <c:v>#N/A</c:v>
                  </c:pt>
                  <c:pt idx="6">
                    <c:v>52221</c:v>
                  </c:pt>
                  <c:pt idx="7">
                    <c:v>#N/A</c:v>
                  </c:pt>
                  <c:pt idx="8">
                    <c:v>#N/A</c:v>
                  </c:pt>
                  <c:pt idx="9">
                    <c:v>#N/A</c:v>
                  </c:pt>
                  <c:pt idx="10">
                    <c:v>#N/A</c:v>
                  </c:pt>
                  <c:pt idx="11">
                    <c:v>#N/A</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Processing!$E$3:$E$14</c:f>
              <c:numCache>
                <c:formatCode>_("$"* #,##0_);_("$"* \(#,##0\);_("$"* "-"??_);_(@_)</c:formatCode>
                <c:ptCount val="12"/>
                <c:pt idx="0">
                  <c:v>#N/A</c:v>
                </c:pt>
                <c:pt idx="1">
                  <c:v>81135</c:v>
                </c:pt>
                <c:pt idx="2">
                  <c:v>#N/A</c:v>
                </c:pt>
                <c:pt idx="3">
                  <c:v>73245</c:v>
                </c:pt>
                <c:pt idx="4">
                  <c:v>#N/A</c:v>
                </c:pt>
                <c:pt idx="5">
                  <c:v>#N/A</c:v>
                </c:pt>
                <c:pt idx="6">
                  <c:v>52221</c:v>
                </c:pt>
                <c:pt idx="7">
                  <c:v>#N/A</c:v>
                </c:pt>
                <c:pt idx="8">
                  <c:v>#N/A</c:v>
                </c:pt>
                <c:pt idx="9">
                  <c:v>#N/A</c:v>
                </c:pt>
                <c:pt idx="10">
                  <c:v>#N/A</c:v>
                </c:pt>
                <c:pt idx="11">
                  <c:v>#N/A</c:v>
                </c:pt>
              </c:numCache>
            </c:numRef>
          </c:yVal>
          <c:smooth val="0"/>
          <c:extLst>
            <c:ext xmlns:c16="http://schemas.microsoft.com/office/drawing/2014/chart" uri="{C3380CC4-5D6E-409C-BE32-E72D297353CC}">
              <c16:uniqueId val="{00000003-D098-40C9-8CAC-85B53071BE1C}"/>
            </c:ext>
          </c:extLst>
        </c:ser>
        <c:ser>
          <c:idx val="4"/>
          <c:order val="4"/>
          <c:tx>
            <c:strRef>
              <c:f>Processing!$F$2</c:f>
              <c:strCache>
                <c:ptCount val="1"/>
                <c:pt idx="0">
                  <c:v>Cursor E</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EE0078"/>
                </a:solidFill>
              </a:ln>
              <a:effectLst>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Processing!$F$3:$F$14</c:f>
                <c:numCache>
                  <c:formatCode>General</c:formatCode>
                  <c:ptCount val="12"/>
                  <c:pt idx="0">
                    <c:v>#N/A</c:v>
                  </c:pt>
                  <c:pt idx="1">
                    <c:v>62626</c:v>
                  </c:pt>
                  <c:pt idx="2">
                    <c:v>#N/A</c:v>
                  </c:pt>
                  <c:pt idx="3">
                    <c:v>78653</c:v>
                  </c:pt>
                  <c:pt idx="4">
                    <c:v>#N/A</c:v>
                  </c:pt>
                  <c:pt idx="5">
                    <c:v>#N/A</c:v>
                  </c:pt>
                  <c:pt idx="6">
                    <c:v>58031</c:v>
                  </c:pt>
                  <c:pt idx="7">
                    <c:v>#N/A</c:v>
                  </c:pt>
                  <c:pt idx="8">
                    <c:v>#N/A</c:v>
                  </c:pt>
                  <c:pt idx="9">
                    <c:v>#N/A</c:v>
                  </c:pt>
                  <c:pt idx="10">
                    <c:v>#N/A</c:v>
                  </c:pt>
                  <c:pt idx="11">
                    <c:v>#N/A</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Processing!$F$3:$F$14</c:f>
              <c:numCache>
                <c:formatCode>_("$"* #,##0_);_("$"* \(#,##0\);_("$"* "-"??_);_(@_)</c:formatCode>
                <c:ptCount val="12"/>
                <c:pt idx="0">
                  <c:v>#N/A</c:v>
                </c:pt>
                <c:pt idx="1">
                  <c:v>62626</c:v>
                </c:pt>
                <c:pt idx="2">
                  <c:v>#N/A</c:v>
                </c:pt>
                <c:pt idx="3">
                  <c:v>78653</c:v>
                </c:pt>
                <c:pt idx="4">
                  <c:v>#N/A</c:v>
                </c:pt>
                <c:pt idx="5">
                  <c:v>#N/A</c:v>
                </c:pt>
                <c:pt idx="6">
                  <c:v>58031</c:v>
                </c:pt>
                <c:pt idx="7">
                  <c:v>#N/A</c:v>
                </c:pt>
                <c:pt idx="8">
                  <c:v>#N/A</c:v>
                </c:pt>
                <c:pt idx="9">
                  <c:v>#N/A</c:v>
                </c:pt>
                <c:pt idx="10">
                  <c:v>#N/A</c:v>
                </c:pt>
                <c:pt idx="11">
                  <c:v>#N/A</c:v>
                </c:pt>
              </c:numCache>
            </c:numRef>
          </c:yVal>
          <c:smooth val="0"/>
          <c:extLst>
            <c:ext xmlns:c16="http://schemas.microsoft.com/office/drawing/2014/chart" uri="{C3380CC4-5D6E-409C-BE32-E72D297353CC}">
              <c16:uniqueId val="{00000004-D098-40C9-8CAC-85B53071BE1C}"/>
            </c:ext>
          </c:extLst>
        </c:ser>
        <c:ser>
          <c:idx val="5"/>
          <c:order val="5"/>
          <c:tx>
            <c:strRef>
              <c:f>Processing!$G$2</c:f>
              <c:strCache>
                <c:ptCount val="1"/>
                <c:pt idx="0">
                  <c:v>Cursor P</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01F3FF"/>
                </a:solidFill>
              </a:ln>
              <a:effectLst>
                <a:outerShdw blurRad="50800" dist="38100" dir="5400000" algn="t"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Processing!$G$3:$G$14</c:f>
                <c:numCache>
                  <c:formatCode>General</c:formatCode>
                  <c:ptCount val="12"/>
                  <c:pt idx="0">
                    <c:v>#N/A</c:v>
                  </c:pt>
                  <c:pt idx="1">
                    <c:v>18509</c:v>
                  </c:pt>
                  <c:pt idx="2">
                    <c:v>#N/A</c:v>
                  </c:pt>
                  <c:pt idx="3">
                    <c:v>-5408</c:v>
                  </c:pt>
                  <c:pt idx="4">
                    <c:v>#N/A</c:v>
                  </c:pt>
                  <c:pt idx="5">
                    <c:v>#N/A</c:v>
                  </c:pt>
                  <c:pt idx="6">
                    <c:v>-5810</c:v>
                  </c:pt>
                  <c:pt idx="7">
                    <c:v>#N/A</c:v>
                  </c:pt>
                  <c:pt idx="8">
                    <c:v>#N/A</c:v>
                  </c:pt>
                  <c:pt idx="9">
                    <c:v>#N/A</c:v>
                  </c:pt>
                  <c:pt idx="10">
                    <c:v>#N/A</c:v>
                  </c:pt>
                  <c:pt idx="11">
                    <c:v>#N/A</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Processing!$G$3:$G$14</c:f>
              <c:numCache>
                <c:formatCode>_("$"* #,##0_);_("$"* \(#,##0\);_("$"* "-"??_);_(@_)</c:formatCode>
                <c:ptCount val="12"/>
                <c:pt idx="0">
                  <c:v>#N/A</c:v>
                </c:pt>
                <c:pt idx="1">
                  <c:v>18509</c:v>
                </c:pt>
                <c:pt idx="2">
                  <c:v>#N/A</c:v>
                </c:pt>
                <c:pt idx="3">
                  <c:v>-5408</c:v>
                </c:pt>
                <c:pt idx="4">
                  <c:v>#N/A</c:v>
                </c:pt>
                <c:pt idx="5">
                  <c:v>#N/A</c:v>
                </c:pt>
                <c:pt idx="6">
                  <c:v>-5810</c:v>
                </c:pt>
                <c:pt idx="7">
                  <c:v>#N/A</c:v>
                </c:pt>
                <c:pt idx="8">
                  <c:v>#N/A</c:v>
                </c:pt>
                <c:pt idx="9">
                  <c:v>#N/A</c:v>
                </c:pt>
                <c:pt idx="10">
                  <c:v>#N/A</c:v>
                </c:pt>
                <c:pt idx="11">
                  <c:v>#N/A</c:v>
                </c:pt>
              </c:numCache>
            </c:numRef>
          </c:yVal>
          <c:smooth val="0"/>
          <c:extLst>
            <c:ext xmlns:c16="http://schemas.microsoft.com/office/drawing/2014/chart" uri="{C3380CC4-5D6E-409C-BE32-E72D297353CC}">
              <c16:uniqueId val="{00000005-D098-40C9-8CAC-85B53071BE1C}"/>
            </c:ext>
          </c:extLst>
        </c:ser>
        <c:dLbls>
          <c:showLegendKey val="0"/>
          <c:showVal val="0"/>
          <c:showCatName val="0"/>
          <c:showSerName val="0"/>
          <c:showPercent val="0"/>
          <c:showBubbleSize val="0"/>
        </c:dLbls>
        <c:axId val="1195768800"/>
        <c:axId val="1195787040"/>
      </c:scatterChart>
      <c:catAx>
        <c:axId val="1195768800"/>
        <c:scaling>
          <c:orientation val="minMax"/>
        </c:scaling>
        <c:delete val="1"/>
        <c:axPos val="b"/>
        <c:numFmt formatCode="General" sourceLinked="1"/>
        <c:majorTickMark val="none"/>
        <c:minorTickMark val="none"/>
        <c:tickLblPos val="nextTo"/>
        <c:crossAx val="1195787040"/>
        <c:crosses val="autoZero"/>
        <c:auto val="1"/>
        <c:lblAlgn val="ctr"/>
        <c:lblOffset val="100"/>
        <c:noMultiLvlLbl val="0"/>
      </c:catAx>
      <c:valAx>
        <c:axId val="1195787040"/>
        <c:scaling>
          <c:orientation val="minMax"/>
        </c:scaling>
        <c:delete val="0"/>
        <c:axPos val="l"/>
        <c:majorGridlines>
          <c:spPr>
            <a:ln w="9525" cap="flat" cmpd="sng" algn="ctr">
              <a:solidFill>
                <a:srgbClr val="626DAE"/>
              </a:solidFill>
              <a:round/>
            </a:ln>
            <a:effectLst/>
          </c:spPr>
        </c:majorGridlines>
        <c:numFmt formatCode="[&gt;=1000]0,&quot;k&quot;;[&l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ru-RU"/>
          </a:p>
        </c:txPr>
        <c:crossAx val="119576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Processing!$I$2</c:f>
              <c:numCache>
                <c:formatCode>General</c:formatCode>
                <c:ptCount val="1"/>
                <c:pt idx="0">
                  <c:v>10</c:v>
                </c:pt>
              </c:numCache>
            </c:numRef>
          </c:val>
          <c:extLst>
            <c:ext xmlns:c16="http://schemas.microsoft.com/office/drawing/2014/chart" uri="{C3380CC4-5D6E-409C-BE32-E72D297353CC}">
              <c16:uniqueId val="{00000000-57C3-4845-A92B-ADBC028F8C94}"/>
            </c:ext>
          </c:extLst>
        </c:ser>
        <c:ser>
          <c:idx val="1"/>
          <c:order val="1"/>
          <c:spPr>
            <a:blipFill>
              <a:blip xmlns:r="http://schemas.openxmlformats.org/officeDocument/2006/relationships" r:embed="rId4"/>
              <a:stretch>
                <a:fillRect/>
              </a:stretch>
            </a:blipFill>
            <a:ln>
              <a:noFill/>
            </a:ln>
            <a:effectLst/>
          </c:spPr>
          <c:invertIfNegative val="0"/>
          <c:val>
            <c:numRef>
              <c:f>Processing!$I$3</c:f>
              <c:numCache>
                <c:formatCode>General</c:formatCode>
                <c:ptCount val="1"/>
                <c:pt idx="0">
                  <c:v>0</c:v>
                </c:pt>
              </c:numCache>
            </c:numRef>
          </c:val>
          <c:extLst>
            <c:ext xmlns:c16="http://schemas.microsoft.com/office/drawing/2014/chart" uri="{C3380CC4-5D6E-409C-BE32-E72D297353CC}">
              <c16:uniqueId val="{00000001-57C3-4845-A92B-ADBC028F8C94}"/>
            </c:ext>
          </c:extLst>
        </c:ser>
        <c:dLbls>
          <c:showLegendKey val="0"/>
          <c:showVal val="0"/>
          <c:showCatName val="0"/>
          <c:showSerName val="0"/>
          <c:showPercent val="0"/>
          <c:showBubbleSize val="0"/>
        </c:dLbls>
        <c:gapWidth val="0"/>
        <c:overlap val="100"/>
        <c:axId val="945048095"/>
        <c:axId val="945050015"/>
      </c:barChart>
      <c:catAx>
        <c:axId val="945048095"/>
        <c:scaling>
          <c:orientation val="minMax"/>
        </c:scaling>
        <c:delete val="1"/>
        <c:axPos val="b"/>
        <c:majorTickMark val="out"/>
        <c:minorTickMark val="none"/>
        <c:tickLblPos val="nextTo"/>
        <c:crossAx val="945050015"/>
        <c:crosses val="autoZero"/>
        <c:auto val="1"/>
        <c:lblAlgn val="ctr"/>
        <c:lblOffset val="100"/>
        <c:noMultiLvlLbl val="0"/>
      </c:catAx>
      <c:valAx>
        <c:axId val="945050015"/>
        <c:scaling>
          <c:orientation val="minMax"/>
          <c:max val="10"/>
        </c:scaling>
        <c:delete val="1"/>
        <c:axPos val="l"/>
        <c:numFmt formatCode="General" sourceLinked="1"/>
        <c:majorTickMark val="out"/>
        <c:minorTickMark val="none"/>
        <c:tickLblPos val="nextTo"/>
        <c:crossAx val="9450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154A-4FC2-8137-E078339FB16F}"/>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154A-4FC2-8137-E078339FB16F}"/>
              </c:ext>
            </c:extLst>
          </c:dPt>
          <c:val>
            <c:numRef>
              <c:f>Processing!$P$10:$Q$10</c:f>
              <c:numCache>
                <c:formatCode>0%</c:formatCode>
                <c:ptCount val="2"/>
                <c:pt idx="0">
                  <c:v>0.6005699358822133</c:v>
                </c:pt>
                <c:pt idx="1">
                  <c:v>0.3994300641177867</c:v>
                </c:pt>
              </c:numCache>
            </c:numRef>
          </c:val>
          <c:extLst>
            <c:ext xmlns:c16="http://schemas.microsoft.com/office/drawing/2014/chart" uri="{C3380CC4-5D6E-409C-BE32-E72D297353CC}">
              <c16:uniqueId val="{00000004-154A-4FC2-8137-E078339FB16F}"/>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354C-4BCD-BF67-3AF022A327B0}"/>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354C-4BCD-BF67-3AF022A327B0}"/>
              </c:ext>
            </c:extLst>
          </c:dPt>
          <c:dPt>
            <c:idx val="2"/>
            <c:bubble3D val="0"/>
            <c:spPr>
              <a:solidFill>
                <a:srgbClr val="01F3FF"/>
              </a:solidFill>
              <a:ln w="19050">
                <a:noFill/>
              </a:ln>
              <a:effectLst/>
            </c:spPr>
            <c:extLst>
              <c:ext xmlns:c16="http://schemas.microsoft.com/office/drawing/2014/chart" uri="{C3380CC4-5D6E-409C-BE32-E72D297353CC}">
                <c16:uniqueId val="{00000005-354C-4BCD-BF67-3AF022A327B0}"/>
              </c:ext>
            </c:extLst>
          </c:dPt>
          <c:dPt>
            <c:idx val="3"/>
            <c:bubble3D val="0"/>
            <c:spPr>
              <a:solidFill>
                <a:schemeClr val="bg1"/>
              </a:solidFill>
              <a:ln w="19050">
                <a:noFill/>
              </a:ln>
              <a:effectLst/>
            </c:spPr>
            <c:extLst>
              <c:ext xmlns:c16="http://schemas.microsoft.com/office/drawing/2014/chart" uri="{C3380CC4-5D6E-409C-BE32-E72D297353CC}">
                <c16:uniqueId val="{00000007-9438-4452-99E9-D2031A6CB012}"/>
              </c:ext>
            </c:extLst>
          </c:dPt>
          <c:val>
            <c:numRef>
              <c:f>Processing!$P$13:$P$16</c:f>
              <c:numCache>
                <c:formatCode>0%</c:formatCode>
                <c:ptCount val="4"/>
                <c:pt idx="0">
                  <c:v>0.91822666666666664</c:v>
                </c:pt>
                <c:pt idx="1">
                  <c:v>8.1773333333333365E-2</c:v>
                </c:pt>
                <c:pt idx="2">
                  <c:v>0</c:v>
                </c:pt>
                <c:pt idx="3">
                  <c:v>0</c:v>
                </c:pt>
              </c:numCache>
            </c:numRef>
          </c:val>
          <c:extLst>
            <c:ext xmlns:c16="http://schemas.microsoft.com/office/drawing/2014/chart" uri="{C3380CC4-5D6E-409C-BE32-E72D297353CC}">
              <c16:uniqueId val="{00000004-354C-4BCD-BF67-3AF022A327B0}"/>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70000"/>
                </a:prstClr>
              </a:outerShdw>
            </a:effectLst>
          </c:spPr>
          <c:dPt>
            <c:idx val="0"/>
            <c:bubble3D val="0"/>
            <c:spPr>
              <a:gradFill>
                <a:gsLst>
                  <a:gs pos="0">
                    <a:schemeClr val="accent5">
                      <a:lumMod val="60000"/>
                      <a:lumOff val="40000"/>
                    </a:schemeClr>
                  </a:gs>
                  <a:gs pos="97000">
                    <a:srgbClr val="A62C97"/>
                  </a:gs>
                </a:gsLst>
                <a:lin ang="3000000" scaled="0"/>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1-9AA0-4F29-A305-4E6791C19252}"/>
              </c:ext>
            </c:extLst>
          </c:dPt>
          <c:dPt>
            <c:idx val="1"/>
            <c:bubble3D val="0"/>
            <c:spPr>
              <a:gradFill>
                <a:gsLst>
                  <a:gs pos="100000">
                    <a:srgbClr val="61A7F5"/>
                  </a:gs>
                  <a:gs pos="0">
                    <a:srgbClr val="4077E3"/>
                  </a:gs>
                </a:gsLst>
                <a:lin ang="5400000" scaled="1"/>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3-9AA0-4F29-A305-4E6791C19252}"/>
              </c:ext>
            </c:extLst>
          </c:dPt>
          <c:dPt>
            <c:idx val="2"/>
            <c:bubble3D val="0"/>
            <c:spPr>
              <a:gradFill>
                <a:gsLst>
                  <a:gs pos="0">
                    <a:srgbClr val="8070E2"/>
                  </a:gs>
                  <a:gs pos="100000">
                    <a:srgbClr val="5A4EBD"/>
                  </a:gs>
                </a:gsLst>
                <a:lin ang="5400000" scaled="1"/>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5-9AA0-4F29-A305-4E6791C19252}"/>
              </c:ext>
            </c:extLst>
          </c:dPt>
          <c:dPt>
            <c:idx val="3"/>
            <c:bubble3D val="0"/>
            <c:spPr>
              <a:noFill/>
              <a:ln w="19050">
                <a:noFill/>
              </a:ln>
              <a:effectLst>
                <a:innerShdw blurRad="114300">
                  <a:prstClr val="black"/>
                </a:innerShdw>
              </a:effectLst>
            </c:spPr>
            <c:extLst>
              <c:ext xmlns:c16="http://schemas.microsoft.com/office/drawing/2014/chart" uri="{C3380CC4-5D6E-409C-BE32-E72D297353CC}">
                <c16:uniqueId val="{00000007-9AA0-4F29-A305-4E6791C19252}"/>
              </c:ext>
            </c:extLst>
          </c:dPt>
          <c:cat>
            <c:strRef>
              <c:f>Processing!$J$2:$J$5</c:f>
              <c:strCache>
                <c:ptCount val="4"/>
                <c:pt idx="0">
                  <c:v>Referral</c:v>
                </c:pt>
                <c:pt idx="1">
                  <c:v>Social</c:v>
                </c:pt>
                <c:pt idx="2">
                  <c:v>Organic</c:v>
                </c:pt>
                <c:pt idx="3">
                  <c:v>Other</c:v>
                </c:pt>
              </c:strCache>
            </c:strRef>
          </c:cat>
          <c:val>
            <c:numRef>
              <c:f>Processing!$K$2:$K$5</c:f>
              <c:numCache>
                <c:formatCode>0%</c:formatCode>
                <c:ptCount val="4"/>
                <c:pt idx="0">
                  <c:v>0.12666666666666668</c:v>
                </c:pt>
                <c:pt idx="1">
                  <c:v>0.39333333333333331</c:v>
                </c:pt>
                <c:pt idx="2">
                  <c:v>0.17333333333333334</c:v>
                </c:pt>
                <c:pt idx="3">
                  <c:v>0.30666666666666664</c:v>
                </c:pt>
              </c:numCache>
            </c:numRef>
          </c:val>
          <c:extLst>
            <c:ext xmlns:c16="http://schemas.microsoft.com/office/drawing/2014/chart" uri="{C3380CC4-5D6E-409C-BE32-E72D297353CC}">
              <c16:uniqueId val="{00000008-9AA0-4F29-A305-4E6791C19252}"/>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flip="none" rotWithShape="1">
              <a:gsLst>
                <a:gs pos="9000">
                  <a:srgbClr val="B471EC">
                    <a:alpha val="80000"/>
                  </a:srgbClr>
                </a:gs>
                <a:gs pos="100000">
                  <a:srgbClr val="5B59D0">
                    <a:alpha val="70000"/>
                  </a:srgbClr>
                </a:gs>
              </a:gsLst>
              <a:lin ang="5400000" scaled="1"/>
              <a:tileRect/>
            </a:gradFill>
            <a:ln>
              <a:noFill/>
            </a:ln>
            <a:effectLst>
              <a:outerShdw blurRad="50800" dist="38100" dir="8100000" algn="tr" rotWithShape="0">
                <a:prstClr val="black">
                  <a:alpha val="40000"/>
                </a:prstClr>
              </a:outerShdw>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0.80000000000000016</c:v>
                </c:pt>
                <c:pt idx="1">
                  <c:v>0.76666666666666661</c:v>
                </c:pt>
                <c:pt idx="2">
                  <c:v>0.76666666666666661</c:v>
                </c:pt>
                <c:pt idx="3">
                  <c:v>0.73333333333333339</c:v>
                </c:pt>
                <c:pt idx="4">
                  <c:v>0.73333333333333339</c:v>
                </c:pt>
                <c:pt idx="5">
                  <c:v>0.73333333333333339</c:v>
                </c:pt>
                <c:pt idx="6">
                  <c:v>0.69999999999999984</c:v>
                </c:pt>
                <c:pt idx="7">
                  <c:v>0.69999999999999984</c:v>
                </c:pt>
              </c:numCache>
            </c:numRef>
          </c:val>
          <c:extLst>
            <c:ext xmlns:c16="http://schemas.microsoft.com/office/drawing/2014/chart" uri="{C3380CC4-5D6E-409C-BE32-E72D297353CC}">
              <c16:uniqueId val="{00000000-7D1E-46F2-8FEE-D32F30E3E6CA}"/>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626DAE"/>
              </a:solidFill>
              <a:round/>
            </a:ln>
            <a:effectLst/>
          </c:spPr>
        </c:majorGridlines>
        <c:numFmt formatCode="0%" sourceLinked="1"/>
        <c:majorTickMark val="out"/>
        <c:minorTickMark val="none"/>
        <c:tickLblPos val="nextTo"/>
        <c:crossAx val="13381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0-7E8E-4964-ABBD-23AA2DB89A64}"/>
            </c:ext>
          </c:extLst>
        </c:ser>
        <c:ser>
          <c:idx val="1"/>
          <c:order val="1"/>
          <c:spPr>
            <a:solidFill>
              <a:schemeClr val="accent2"/>
            </a:solidFill>
            <a:ln w="127000">
              <a:gradFill>
                <a:gsLst>
                  <a:gs pos="65000">
                    <a:srgbClr val="5987F6"/>
                  </a:gs>
                  <a:gs pos="100000">
                    <a:srgbClr val="7A59CD"/>
                  </a:gs>
                </a:gsLst>
                <a:lin ang="5400000" scaled="1"/>
              </a:gradFill>
            </a:ln>
            <a:effectLst>
              <a:outerShdw blurRad="50800" dist="38100" dir="8100000" algn="tr" rotWithShape="0">
                <a:prstClr val="black">
                  <a:alpha val="40000"/>
                </a:prstClr>
              </a:outerShdw>
            </a:effectLst>
          </c:spPr>
          <c:invertIfNegative val="0"/>
          <c:val>
            <c:numRef>
              <c:f>Processing!$Q$2:$Q$5</c:f>
              <c:numCache>
                <c:formatCode>#\ ###\ ###</c:formatCode>
                <c:ptCount val="4"/>
                <c:pt idx="0">
                  <c:v>3873</c:v>
                </c:pt>
                <c:pt idx="1">
                  <c:v>9235</c:v>
                </c:pt>
                <c:pt idx="2">
                  <c:v>15418</c:v>
                </c:pt>
                <c:pt idx="3">
                  <c:v>21089</c:v>
                </c:pt>
              </c:numCache>
            </c:numRef>
          </c:val>
          <c:extLst>
            <c:ext xmlns:c16="http://schemas.microsoft.com/office/drawing/2014/chart" uri="{C3380CC4-5D6E-409C-BE32-E72D297353CC}">
              <c16:uniqueId val="{00000001-7E8E-4964-ABBD-23AA2DB89A64}"/>
            </c:ext>
          </c:extLst>
        </c:ser>
        <c:dLbls>
          <c:showLegendKey val="0"/>
          <c:showVal val="0"/>
          <c:showCatName val="0"/>
          <c:showSerName val="0"/>
          <c:showPercent val="0"/>
          <c:showBubbleSize val="0"/>
        </c:dLbls>
        <c:gapWidth val="220"/>
        <c:overlap val="100"/>
        <c:axId val="1015113280"/>
        <c:axId val="1015110400"/>
      </c:barChart>
      <c:barChart>
        <c:barDir val="col"/>
        <c:grouping val="stacked"/>
        <c:varyColors val="0"/>
        <c:ser>
          <c:idx val="2"/>
          <c:order val="2"/>
          <c:tx>
            <c:v>Indent Cursor</c:v>
          </c:tx>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2-7E8E-4964-ABBD-23AA2DB89A64}"/>
            </c:ext>
          </c:extLst>
        </c:ser>
        <c:ser>
          <c:idx val="3"/>
          <c:order val="3"/>
          <c:tx>
            <c:v>Cursor</c:v>
          </c:tx>
          <c:spPr>
            <a:solidFill>
              <a:schemeClr val="accent4"/>
            </a:solidFill>
            <a:ln w="127000">
              <a:gradFill>
                <a:gsLst>
                  <a:gs pos="0">
                    <a:schemeClr val="accent1">
                      <a:lumMod val="5000"/>
                      <a:lumOff val="95000"/>
                    </a:schemeClr>
                  </a:gs>
                  <a:gs pos="62000">
                    <a:schemeClr val="accent1">
                      <a:lumMod val="30000"/>
                      <a:lumOff val="70000"/>
                    </a:schemeClr>
                  </a:gs>
                </a:gsLst>
                <a:lin ang="5400000" scaled="1"/>
              </a:gradFill>
            </a:ln>
            <a:effectLst/>
          </c:spPr>
          <c:invertIfNegative val="0"/>
          <c:val>
            <c:numRef>
              <c:f>Processing!$R$2:$R$5</c:f>
              <c:numCache>
                <c:formatCode>#\ ###\ ###</c:formatCode>
                <c:ptCount val="4"/>
                <c:pt idx="0">
                  <c:v>#N/A</c:v>
                </c:pt>
                <c:pt idx="1">
                  <c:v>#N/A</c:v>
                </c:pt>
                <c:pt idx="2">
                  <c:v>15418</c:v>
                </c:pt>
                <c:pt idx="3">
                  <c:v>#N/A</c:v>
                </c:pt>
              </c:numCache>
            </c:numRef>
          </c:val>
          <c:extLst>
            <c:ext xmlns:c16="http://schemas.microsoft.com/office/drawing/2014/chart" uri="{C3380CC4-5D6E-409C-BE32-E72D297353CC}">
              <c16:uniqueId val="{00000003-7E8E-4964-ABBD-23AA2DB89A64}"/>
            </c:ext>
          </c:extLst>
        </c:ser>
        <c:dLbls>
          <c:showLegendKey val="0"/>
          <c:showVal val="0"/>
          <c:showCatName val="0"/>
          <c:showSerName val="0"/>
          <c:showPercent val="0"/>
          <c:showBubbleSize val="0"/>
        </c:dLbls>
        <c:gapWidth val="220"/>
        <c:overlap val="100"/>
        <c:axId val="1338170112"/>
        <c:axId val="1338171552"/>
      </c:barChart>
      <c:catAx>
        <c:axId val="1015113280"/>
        <c:scaling>
          <c:orientation val="minMax"/>
        </c:scaling>
        <c:delete val="1"/>
        <c:axPos val="b"/>
        <c:majorTickMark val="none"/>
        <c:minorTickMark val="none"/>
        <c:tickLblPos val="nextTo"/>
        <c:crossAx val="1015110400"/>
        <c:crosses val="autoZero"/>
        <c:auto val="1"/>
        <c:lblAlgn val="ctr"/>
        <c:lblOffset val="100"/>
        <c:noMultiLvlLbl val="0"/>
      </c:catAx>
      <c:valAx>
        <c:axId val="1015110400"/>
        <c:scaling>
          <c:orientation val="minMax"/>
        </c:scaling>
        <c:delete val="1"/>
        <c:axPos val="l"/>
        <c:numFmt formatCode="General" sourceLinked="1"/>
        <c:majorTickMark val="none"/>
        <c:minorTickMark val="none"/>
        <c:tickLblPos val="nextTo"/>
        <c:crossAx val="1015113280"/>
        <c:crosses val="autoZero"/>
        <c:crossBetween val="between"/>
      </c:valAx>
      <c:valAx>
        <c:axId val="1338171552"/>
        <c:scaling>
          <c:orientation val="minMax"/>
        </c:scaling>
        <c:delete val="1"/>
        <c:axPos val="r"/>
        <c:numFmt formatCode="General" sourceLinked="1"/>
        <c:majorTickMark val="out"/>
        <c:minorTickMark val="none"/>
        <c:tickLblPos val="nextTo"/>
        <c:crossAx val="1338170112"/>
        <c:crosses val="max"/>
        <c:crossBetween val="between"/>
      </c:valAx>
      <c:catAx>
        <c:axId val="1338170112"/>
        <c:scaling>
          <c:orientation val="minMax"/>
        </c:scaling>
        <c:delete val="1"/>
        <c:axPos val="b"/>
        <c:majorTickMark val="out"/>
        <c:minorTickMark val="none"/>
        <c:tickLblPos val="nextTo"/>
        <c:crossAx val="13381715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Processing!$B$2</c:f>
              <c:strCache>
                <c:ptCount val="1"/>
                <c:pt idx="0">
                  <c:v>Revenue</c:v>
                </c:pt>
              </c:strCache>
            </c:strRef>
          </c:tx>
          <c:spPr>
            <a:ln w="25400" cap="rnd">
              <a:solidFill>
                <a:srgbClr val="00B0F0"/>
              </a:solidFill>
              <a:round/>
            </a:ln>
            <a:effectLst>
              <a:outerShdw blurRad="50800" dist="38100" dir="5400000" algn="t" rotWithShape="0">
                <a:prstClr val="black">
                  <a:alpha val="40000"/>
                </a:prstClr>
              </a:outerShdw>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Processing!$B$3:$B$14</c:f>
              <c:numCache>
                <c:formatCode>_("$"* #,##0_);_("$"* \(#,##0\);_("$"* "-"??_);_(@_)</c:formatCode>
                <c:ptCount val="12"/>
                <c:pt idx="0">
                  <c:v>59019</c:v>
                </c:pt>
                <c:pt idx="1">
                  <c:v>81135</c:v>
                </c:pt>
                <c:pt idx="2">
                  <c:v>84342</c:v>
                </c:pt>
                <c:pt idx="3">
                  <c:v>73245</c:v>
                </c:pt>
                <c:pt idx="4">
                  <c:v>57139</c:v>
                </c:pt>
                <c:pt idx="5">
                  <c:v>44835</c:v>
                </c:pt>
                <c:pt idx="6">
                  <c:v>52221</c:v>
                </c:pt>
                <c:pt idx="7">
                  <c:v>96718</c:v>
                </c:pt>
                <c:pt idx="8">
                  <c:v>111028</c:v>
                </c:pt>
                <c:pt idx="9">
                  <c:v>105644</c:v>
                </c:pt>
                <c:pt idx="10">
                  <c:v>77026</c:v>
                </c:pt>
                <c:pt idx="11">
                  <c:v>90717</c:v>
                </c:pt>
              </c:numCache>
            </c:numRef>
          </c:val>
          <c:smooth val="1"/>
          <c:extLst>
            <c:ext xmlns:c16="http://schemas.microsoft.com/office/drawing/2014/chart" uri="{C3380CC4-5D6E-409C-BE32-E72D297353CC}">
              <c16:uniqueId val="{00000000-73AF-4668-8B7C-B5DEAA3C064A}"/>
            </c:ext>
          </c:extLst>
        </c:ser>
        <c:ser>
          <c:idx val="1"/>
          <c:order val="1"/>
          <c:tx>
            <c:strRef>
              <c:f>Processing!$C$2</c:f>
              <c:strCache>
                <c:ptCount val="1"/>
                <c:pt idx="0">
                  <c:v>Expenses</c:v>
                </c:pt>
              </c:strCache>
            </c:strRef>
          </c:tx>
          <c:spPr>
            <a:ln w="25400" cap="rnd">
              <a:solidFill>
                <a:srgbClr val="EE0078"/>
              </a:solidFill>
              <a:round/>
            </a:ln>
            <a:effectLst>
              <a:outerShdw blurRad="50800" dist="38100" dir="5400000" algn="t" rotWithShape="0">
                <a:prstClr val="black">
                  <a:alpha val="40000"/>
                </a:prstClr>
              </a:outerShdw>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Processing!$C$3:$C$14</c:f>
              <c:numCache>
                <c:formatCode>_("$"* #,##0_);_("$"* \(#,##0\);_("$"* "-"??_);_(@_)</c:formatCode>
                <c:ptCount val="12"/>
                <c:pt idx="0">
                  <c:v>67541</c:v>
                </c:pt>
                <c:pt idx="1">
                  <c:v>62626</c:v>
                </c:pt>
                <c:pt idx="2">
                  <c:v>68752</c:v>
                </c:pt>
                <c:pt idx="3">
                  <c:v>78653</c:v>
                </c:pt>
                <c:pt idx="4">
                  <c:v>73540</c:v>
                </c:pt>
                <c:pt idx="5">
                  <c:v>61426</c:v>
                </c:pt>
                <c:pt idx="6">
                  <c:v>58031</c:v>
                </c:pt>
                <c:pt idx="7">
                  <c:v>65713</c:v>
                </c:pt>
                <c:pt idx="8">
                  <c:v>80943</c:v>
                </c:pt>
                <c:pt idx="9">
                  <c:v>89819</c:v>
                </c:pt>
                <c:pt idx="10">
                  <c:v>85029</c:v>
                </c:pt>
                <c:pt idx="11">
                  <c:v>74016</c:v>
                </c:pt>
              </c:numCache>
            </c:numRef>
          </c:val>
          <c:smooth val="1"/>
          <c:extLst>
            <c:ext xmlns:c16="http://schemas.microsoft.com/office/drawing/2014/chart" uri="{C3380CC4-5D6E-409C-BE32-E72D297353CC}">
              <c16:uniqueId val="{00000001-73AF-4668-8B7C-B5DEAA3C064A}"/>
            </c:ext>
          </c:extLst>
        </c:ser>
        <c:ser>
          <c:idx val="2"/>
          <c:order val="2"/>
          <c:tx>
            <c:strRef>
              <c:f>Processing!$D$2</c:f>
              <c:strCache>
                <c:ptCount val="1"/>
                <c:pt idx="0">
                  <c:v>Profit</c:v>
                </c:pt>
              </c:strCache>
            </c:strRef>
          </c:tx>
          <c:spPr>
            <a:ln w="25400" cap="rnd">
              <a:solidFill>
                <a:srgbClr val="01F3FF"/>
              </a:solidFill>
              <a:round/>
            </a:ln>
            <a:effectLst>
              <a:outerShdw blurRad="50800" dist="38100" dir="5400000" algn="t" rotWithShape="0">
                <a:prstClr val="black">
                  <a:alpha val="40000"/>
                </a:prstClr>
              </a:outerShdw>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Processing!$D$3:$D$14</c:f>
              <c:numCache>
                <c:formatCode>_("$"* #,##0_);_("$"* \(#,##0\);_("$"* "-"??_);_(@_)</c:formatCode>
                <c:ptCount val="12"/>
                <c:pt idx="0">
                  <c:v>-8522</c:v>
                </c:pt>
                <c:pt idx="1">
                  <c:v>18509</c:v>
                </c:pt>
                <c:pt idx="2">
                  <c:v>15590</c:v>
                </c:pt>
                <c:pt idx="3">
                  <c:v>-5408</c:v>
                </c:pt>
                <c:pt idx="4">
                  <c:v>-16401</c:v>
                </c:pt>
                <c:pt idx="5">
                  <c:v>-16591</c:v>
                </c:pt>
                <c:pt idx="6">
                  <c:v>-5810</c:v>
                </c:pt>
                <c:pt idx="7">
                  <c:v>31005</c:v>
                </c:pt>
                <c:pt idx="8">
                  <c:v>30085</c:v>
                </c:pt>
                <c:pt idx="9">
                  <c:v>15825</c:v>
                </c:pt>
                <c:pt idx="10">
                  <c:v>-8003</c:v>
                </c:pt>
                <c:pt idx="11">
                  <c:v>16701</c:v>
                </c:pt>
              </c:numCache>
            </c:numRef>
          </c:val>
          <c:smooth val="1"/>
          <c:extLst>
            <c:ext xmlns:c16="http://schemas.microsoft.com/office/drawing/2014/chart" uri="{C3380CC4-5D6E-409C-BE32-E72D297353CC}">
              <c16:uniqueId val="{00000002-73AF-4668-8B7C-B5DEAA3C064A}"/>
            </c:ext>
          </c:extLst>
        </c:ser>
        <c:ser>
          <c:idx val="6"/>
          <c:order val="6"/>
          <c:tx>
            <c:strRef>
              <c:f>Processing!$H$2</c:f>
              <c:strCache>
                <c:ptCount val="1"/>
                <c:pt idx="0">
                  <c:v>Sales Target</c:v>
                </c:pt>
              </c:strCache>
            </c:strRef>
          </c:tx>
          <c:spPr>
            <a:ln w="9525" cap="rnd">
              <a:solidFill>
                <a:schemeClr val="bg1"/>
              </a:solidFill>
              <a:round/>
            </a:ln>
            <a:effectLst/>
          </c:spPr>
          <c:marker>
            <c:symbol val="none"/>
          </c:marker>
          <c:dLbls>
            <c:dLbl>
              <c:idx val="0"/>
              <c:dLblPos val="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73AF-4668-8B7C-B5DEAA3C064A}"/>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3AF-4668-8B7C-B5DEAA3C064A}"/>
                </c:ext>
              </c:extLst>
            </c:dLbl>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Processing!$H$3:$H$14</c:f>
              <c:numCache>
                <c:formatCode>_("$"* #,##0_);_("$"* \(#,##0\);_("$"* "-"??_);_(@_)</c:formatCode>
                <c:ptCount val="12"/>
                <c:pt idx="0">
                  <c:v>75000</c:v>
                </c:pt>
                <c:pt idx="1">
                  <c:v>75000</c:v>
                </c:pt>
                <c:pt idx="2">
                  <c:v>75000</c:v>
                </c:pt>
                <c:pt idx="3">
                  <c:v>75000</c:v>
                </c:pt>
                <c:pt idx="4">
                  <c:v>75000</c:v>
                </c:pt>
                <c:pt idx="5">
                  <c:v>75000</c:v>
                </c:pt>
                <c:pt idx="6">
                  <c:v>75000</c:v>
                </c:pt>
                <c:pt idx="7">
                  <c:v>75000</c:v>
                </c:pt>
                <c:pt idx="8">
                  <c:v>75000</c:v>
                </c:pt>
                <c:pt idx="9">
                  <c:v>75000</c:v>
                </c:pt>
                <c:pt idx="10">
                  <c:v>75000</c:v>
                </c:pt>
                <c:pt idx="11">
                  <c:v>75000</c:v>
                </c:pt>
              </c:numCache>
            </c:numRef>
          </c:val>
          <c:smooth val="0"/>
          <c:extLst>
            <c:ext xmlns:c16="http://schemas.microsoft.com/office/drawing/2014/chart" uri="{C3380CC4-5D6E-409C-BE32-E72D297353CC}">
              <c16:uniqueId val="{00000005-73AF-4668-8B7C-B5DEAA3C064A}"/>
            </c:ext>
          </c:extLst>
        </c:ser>
        <c:dLbls>
          <c:showLegendKey val="0"/>
          <c:showVal val="0"/>
          <c:showCatName val="0"/>
          <c:showSerName val="0"/>
          <c:showPercent val="0"/>
          <c:showBubbleSize val="0"/>
        </c:dLbls>
        <c:marker val="1"/>
        <c:smooth val="0"/>
        <c:axId val="1195768800"/>
        <c:axId val="1195787040"/>
      </c:lineChart>
      <c:scatterChart>
        <c:scatterStyle val="lineMarker"/>
        <c:varyColors val="0"/>
        <c:ser>
          <c:idx val="3"/>
          <c:order val="3"/>
          <c:tx>
            <c:strRef>
              <c:f>Processing!$E$2</c:f>
              <c:strCache>
                <c:ptCount val="1"/>
                <c:pt idx="0">
                  <c:v>Cursor R</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00B0F0"/>
                </a:solidFill>
              </a:ln>
              <a:effectLst>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Processing!$E$3:$E$14</c:f>
                <c:numCache>
                  <c:formatCode>General</c:formatCode>
                  <c:ptCount val="12"/>
                  <c:pt idx="0">
                    <c:v>#N/A</c:v>
                  </c:pt>
                  <c:pt idx="1">
                    <c:v>81135</c:v>
                  </c:pt>
                  <c:pt idx="2">
                    <c:v>#N/A</c:v>
                  </c:pt>
                  <c:pt idx="3">
                    <c:v>73245</c:v>
                  </c:pt>
                  <c:pt idx="4">
                    <c:v>#N/A</c:v>
                  </c:pt>
                  <c:pt idx="5">
                    <c:v>#N/A</c:v>
                  </c:pt>
                  <c:pt idx="6">
                    <c:v>52221</c:v>
                  </c:pt>
                  <c:pt idx="7">
                    <c:v>#N/A</c:v>
                  </c:pt>
                  <c:pt idx="8">
                    <c:v>#N/A</c:v>
                  </c:pt>
                  <c:pt idx="9">
                    <c:v>#N/A</c:v>
                  </c:pt>
                  <c:pt idx="10">
                    <c:v>#N/A</c:v>
                  </c:pt>
                  <c:pt idx="11">
                    <c:v>#N/A</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Processing!$E$3:$E$14</c:f>
              <c:numCache>
                <c:formatCode>_("$"* #,##0_);_("$"* \(#,##0\);_("$"* "-"??_);_(@_)</c:formatCode>
                <c:ptCount val="12"/>
                <c:pt idx="0">
                  <c:v>#N/A</c:v>
                </c:pt>
                <c:pt idx="1">
                  <c:v>81135</c:v>
                </c:pt>
                <c:pt idx="2">
                  <c:v>#N/A</c:v>
                </c:pt>
                <c:pt idx="3">
                  <c:v>73245</c:v>
                </c:pt>
                <c:pt idx="4">
                  <c:v>#N/A</c:v>
                </c:pt>
                <c:pt idx="5">
                  <c:v>#N/A</c:v>
                </c:pt>
                <c:pt idx="6">
                  <c:v>52221</c:v>
                </c:pt>
                <c:pt idx="7">
                  <c:v>#N/A</c:v>
                </c:pt>
                <c:pt idx="8">
                  <c:v>#N/A</c:v>
                </c:pt>
                <c:pt idx="9">
                  <c:v>#N/A</c:v>
                </c:pt>
                <c:pt idx="10">
                  <c:v>#N/A</c:v>
                </c:pt>
                <c:pt idx="11">
                  <c:v>#N/A</c:v>
                </c:pt>
              </c:numCache>
            </c:numRef>
          </c:yVal>
          <c:smooth val="0"/>
          <c:extLst>
            <c:ext xmlns:c16="http://schemas.microsoft.com/office/drawing/2014/chart" uri="{C3380CC4-5D6E-409C-BE32-E72D297353CC}">
              <c16:uniqueId val="{00000006-73AF-4668-8B7C-B5DEAA3C064A}"/>
            </c:ext>
          </c:extLst>
        </c:ser>
        <c:ser>
          <c:idx val="4"/>
          <c:order val="4"/>
          <c:tx>
            <c:strRef>
              <c:f>Processing!$F$2</c:f>
              <c:strCache>
                <c:ptCount val="1"/>
                <c:pt idx="0">
                  <c:v>Cursor E</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EE0078"/>
                </a:solidFill>
              </a:ln>
              <a:effectLst>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Processing!$F$3:$F$14</c:f>
                <c:numCache>
                  <c:formatCode>General</c:formatCode>
                  <c:ptCount val="12"/>
                  <c:pt idx="0">
                    <c:v>#N/A</c:v>
                  </c:pt>
                  <c:pt idx="1">
                    <c:v>62626</c:v>
                  </c:pt>
                  <c:pt idx="2">
                    <c:v>#N/A</c:v>
                  </c:pt>
                  <c:pt idx="3">
                    <c:v>78653</c:v>
                  </c:pt>
                  <c:pt idx="4">
                    <c:v>#N/A</c:v>
                  </c:pt>
                  <c:pt idx="5">
                    <c:v>#N/A</c:v>
                  </c:pt>
                  <c:pt idx="6">
                    <c:v>58031</c:v>
                  </c:pt>
                  <c:pt idx="7">
                    <c:v>#N/A</c:v>
                  </c:pt>
                  <c:pt idx="8">
                    <c:v>#N/A</c:v>
                  </c:pt>
                  <c:pt idx="9">
                    <c:v>#N/A</c:v>
                  </c:pt>
                  <c:pt idx="10">
                    <c:v>#N/A</c:v>
                  </c:pt>
                  <c:pt idx="11">
                    <c:v>#N/A</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Processing!$F$3:$F$14</c:f>
              <c:numCache>
                <c:formatCode>_("$"* #,##0_);_("$"* \(#,##0\);_("$"* "-"??_);_(@_)</c:formatCode>
                <c:ptCount val="12"/>
                <c:pt idx="0">
                  <c:v>#N/A</c:v>
                </c:pt>
                <c:pt idx="1">
                  <c:v>62626</c:v>
                </c:pt>
                <c:pt idx="2">
                  <c:v>#N/A</c:v>
                </c:pt>
                <c:pt idx="3">
                  <c:v>78653</c:v>
                </c:pt>
                <c:pt idx="4">
                  <c:v>#N/A</c:v>
                </c:pt>
                <c:pt idx="5">
                  <c:v>#N/A</c:v>
                </c:pt>
                <c:pt idx="6">
                  <c:v>58031</c:v>
                </c:pt>
                <c:pt idx="7">
                  <c:v>#N/A</c:v>
                </c:pt>
                <c:pt idx="8">
                  <c:v>#N/A</c:v>
                </c:pt>
                <c:pt idx="9">
                  <c:v>#N/A</c:v>
                </c:pt>
                <c:pt idx="10">
                  <c:v>#N/A</c:v>
                </c:pt>
                <c:pt idx="11">
                  <c:v>#N/A</c:v>
                </c:pt>
              </c:numCache>
            </c:numRef>
          </c:yVal>
          <c:smooth val="0"/>
          <c:extLst>
            <c:ext xmlns:c16="http://schemas.microsoft.com/office/drawing/2014/chart" uri="{C3380CC4-5D6E-409C-BE32-E72D297353CC}">
              <c16:uniqueId val="{00000007-73AF-4668-8B7C-B5DEAA3C064A}"/>
            </c:ext>
          </c:extLst>
        </c:ser>
        <c:ser>
          <c:idx val="5"/>
          <c:order val="5"/>
          <c:tx>
            <c:strRef>
              <c:f>Processing!$G$2</c:f>
              <c:strCache>
                <c:ptCount val="1"/>
                <c:pt idx="0">
                  <c:v>Cursor P</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01F3FF"/>
                </a:solidFill>
              </a:ln>
              <a:effectLst>
                <a:outerShdw blurRad="50800" dist="38100" dir="5400000" algn="t"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Processing!$G$3:$G$14</c:f>
                <c:numCache>
                  <c:formatCode>General</c:formatCode>
                  <c:ptCount val="12"/>
                  <c:pt idx="0">
                    <c:v>#N/A</c:v>
                  </c:pt>
                  <c:pt idx="1">
                    <c:v>18509</c:v>
                  </c:pt>
                  <c:pt idx="2">
                    <c:v>#N/A</c:v>
                  </c:pt>
                  <c:pt idx="3">
                    <c:v>-5408</c:v>
                  </c:pt>
                  <c:pt idx="4">
                    <c:v>#N/A</c:v>
                  </c:pt>
                  <c:pt idx="5">
                    <c:v>#N/A</c:v>
                  </c:pt>
                  <c:pt idx="6">
                    <c:v>-5810</c:v>
                  </c:pt>
                  <c:pt idx="7">
                    <c:v>#N/A</c:v>
                  </c:pt>
                  <c:pt idx="8">
                    <c:v>#N/A</c:v>
                  </c:pt>
                  <c:pt idx="9">
                    <c:v>#N/A</c:v>
                  </c:pt>
                  <c:pt idx="10">
                    <c:v>#N/A</c:v>
                  </c:pt>
                  <c:pt idx="11">
                    <c:v>#N/A</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Processing!$G$3:$G$14</c:f>
              <c:numCache>
                <c:formatCode>_("$"* #,##0_);_("$"* \(#,##0\);_("$"* "-"??_);_(@_)</c:formatCode>
                <c:ptCount val="12"/>
                <c:pt idx="0">
                  <c:v>#N/A</c:v>
                </c:pt>
                <c:pt idx="1">
                  <c:v>18509</c:v>
                </c:pt>
                <c:pt idx="2">
                  <c:v>#N/A</c:v>
                </c:pt>
                <c:pt idx="3">
                  <c:v>-5408</c:v>
                </c:pt>
                <c:pt idx="4">
                  <c:v>#N/A</c:v>
                </c:pt>
                <c:pt idx="5">
                  <c:v>#N/A</c:v>
                </c:pt>
                <c:pt idx="6">
                  <c:v>-5810</c:v>
                </c:pt>
                <c:pt idx="7">
                  <c:v>#N/A</c:v>
                </c:pt>
                <c:pt idx="8">
                  <c:v>#N/A</c:v>
                </c:pt>
                <c:pt idx="9">
                  <c:v>#N/A</c:v>
                </c:pt>
                <c:pt idx="10">
                  <c:v>#N/A</c:v>
                </c:pt>
                <c:pt idx="11">
                  <c:v>#N/A</c:v>
                </c:pt>
              </c:numCache>
            </c:numRef>
          </c:yVal>
          <c:smooth val="0"/>
          <c:extLst>
            <c:ext xmlns:c16="http://schemas.microsoft.com/office/drawing/2014/chart" uri="{C3380CC4-5D6E-409C-BE32-E72D297353CC}">
              <c16:uniqueId val="{00000008-73AF-4668-8B7C-B5DEAA3C064A}"/>
            </c:ext>
          </c:extLst>
        </c:ser>
        <c:dLbls>
          <c:showLegendKey val="0"/>
          <c:showVal val="0"/>
          <c:showCatName val="0"/>
          <c:showSerName val="0"/>
          <c:showPercent val="0"/>
          <c:showBubbleSize val="0"/>
        </c:dLbls>
        <c:axId val="1195768800"/>
        <c:axId val="1195787040"/>
      </c:scatterChart>
      <c:catAx>
        <c:axId val="1195768800"/>
        <c:scaling>
          <c:orientation val="minMax"/>
        </c:scaling>
        <c:delete val="1"/>
        <c:axPos val="b"/>
        <c:numFmt formatCode="General" sourceLinked="1"/>
        <c:majorTickMark val="none"/>
        <c:minorTickMark val="none"/>
        <c:tickLblPos val="nextTo"/>
        <c:crossAx val="1195787040"/>
        <c:crosses val="autoZero"/>
        <c:auto val="1"/>
        <c:lblAlgn val="ctr"/>
        <c:lblOffset val="100"/>
        <c:noMultiLvlLbl val="0"/>
      </c:catAx>
      <c:valAx>
        <c:axId val="1195787040"/>
        <c:scaling>
          <c:orientation val="minMax"/>
        </c:scaling>
        <c:delete val="0"/>
        <c:axPos val="l"/>
        <c:majorGridlines>
          <c:spPr>
            <a:ln w="9525" cap="flat" cmpd="sng" algn="ctr">
              <a:solidFill>
                <a:srgbClr val="626DAE"/>
              </a:solidFill>
              <a:round/>
            </a:ln>
            <a:effectLst/>
          </c:spPr>
        </c:majorGridlines>
        <c:numFmt formatCode="[&gt;=1000]0,&quot;k&quot;;[&l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ru-RU"/>
          </a:p>
        </c:txPr>
        <c:crossAx val="119576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Processing!$I$2</c:f>
              <c:numCache>
                <c:formatCode>General</c:formatCode>
                <c:ptCount val="1"/>
                <c:pt idx="0">
                  <c:v>10</c:v>
                </c:pt>
              </c:numCache>
            </c:numRef>
          </c:val>
          <c:extLst>
            <c:ext xmlns:c16="http://schemas.microsoft.com/office/drawing/2014/chart" uri="{C3380CC4-5D6E-409C-BE32-E72D297353CC}">
              <c16:uniqueId val="{00000000-D954-46E5-8439-3DE6E4329DDA}"/>
            </c:ext>
          </c:extLst>
        </c:ser>
        <c:ser>
          <c:idx val="1"/>
          <c:order val="1"/>
          <c:spPr>
            <a:blipFill>
              <a:blip xmlns:r="http://schemas.openxmlformats.org/officeDocument/2006/relationships" r:embed="rId4"/>
              <a:stretch>
                <a:fillRect/>
              </a:stretch>
            </a:blipFill>
            <a:ln>
              <a:noFill/>
            </a:ln>
            <a:effectLst/>
          </c:spPr>
          <c:invertIfNegative val="0"/>
          <c:val>
            <c:numRef>
              <c:f>Processing!$I$3</c:f>
              <c:numCache>
                <c:formatCode>General</c:formatCode>
                <c:ptCount val="1"/>
                <c:pt idx="0">
                  <c:v>0</c:v>
                </c:pt>
              </c:numCache>
            </c:numRef>
          </c:val>
          <c:extLst>
            <c:ext xmlns:c16="http://schemas.microsoft.com/office/drawing/2014/chart" uri="{C3380CC4-5D6E-409C-BE32-E72D297353CC}">
              <c16:uniqueId val="{00000001-D954-46E5-8439-3DE6E4329DDA}"/>
            </c:ext>
          </c:extLst>
        </c:ser>
        <c:dLbls>
          <c:showLegendKey val="0"/>
          <c:showVal val="0"/>
          <c:showCatName val="0"/>
          <c:showSerName val="0"/>
          <c:showPercent val="0"/>
          <c:showBubbleSize val="0"/>
        </c:dLbls>
        <c:gapWidth val="0"/>
        <c:overlap val="100"/>
        <c:axId val="945048095"/>
        <c:axId val="945050015"/>
      </c:barChart>
      <c:catAx>
        <c:axId val="945048095"/>
        <c:scaling>
          <c:orientation val="minMax"/>
        </c:scaling>
        <c:delete val="1"/>
        <c:axPos val="b"/>
        <c:majorTickMark val="out"/>
        <c:minorTickMark val="none"/>
        <c:tickLblPos val="nextTo"/>
        <c:crossAx val="945050015"/>
        <c:crosses val="autoZero"/>
        <c:auto val="1"/>
        <c:lblAlgn val="ctr"/>
        <c:lblOffset val="100"/>
        <c:noMultiLvlLbl val="0"/>
      </c:catAx>
      <c:valAx>
        <c:axId val="945050015"/>
        <c:scaling>
          <c:orientation val="minMax"/>
          <c:max val="10"/>
        </c:scaling>
        <c:delete val="1"/>
        <c:axPos val="l"/>
        <c:numFmt formatCode="General" sourceLinked="1"/>
        <c:majorTickMark val="out"/>
        <c:minorTickMark val="none"/>
        <c:tickLblPos val="nextTo"/>
        <c:crossAx val="9450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F288-4A66-AEFD-AADFC5151084}"/>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F288-4A66-AEFD-AADFC5151084}"/>
              </c:ext>
            </c:extLst>
          </c:dPt>
          <c:dPt>
            <c:idx val="2"/>
            <c:bubble3D val="0"/>
            <c:spPr>
              <a:solidFill>
                <a:srgbClr val="01F3FF"/>
              </a:solidFill>
              <a:ln w="19050">
                <a:noFill/>
              </a:ln>
              <a:effectLst/>
            </c:spPr>
            <c:extLst>
              <c:ext xmlns:c16="http://schemas.microsoft.com/office/drawing/2014/chart" uri="{C3380CC4-5D6E-409C-BE32-E72D297353CC}">
                <c16:uniqueId val="{00000005-F288-4A66-AEFD-AADFC5151084}"/>
              </c:ext>
            </c:extLst>
          </c:dPt>
          <c:dPt>
            <c:idx val="3"/>
            <c:bubble3D val="0"/>
            <c:spPr>
              <a:solidFill>
                <a:schemeClr val="bg1"/>
              </a:solidFill>
              <a:ln w="19050">
                <a:noFill/>
              </a:ln>
              <a:effectLst/>
            </c:spPr>
            <c:extLst>
              <c:ext xmlns:c16="http://schemas.microsoft.com/office/drawing/2014/chart" uri="{C3380CC4-5D6E-409C-BE32-E72D297353CC}">
                <c16:uniqueId val="{00000007-F288-4A66-AEFD-AADFC5151084}"/>
              </c:ext>
            </c:extLst>
          </c:dPt>
          <c:val>
            <c:numRef>
              <c:f>Processing!$P$13:$P$16</c:f>
              <c:numCache>
                <c:formatCode>0%</c:formatCode>
                <c:ptCount val="4"/>
                <c:pt idx="0">
                  <c:v>0.91822666666666664</c:v>
                </c:pt>
                <c:pt idx="1">
                  <c:v>8.1773333333333365E-2</c:v>
                </c:pt>
                <c:pt idx="2">
                  <c:v>0</c:v>
                </c:pt>
                <c:pt idx="3">
                  <c:v>0</c:v>
                </c:pt>
              </c:numCache>
            </c:numRef>
          </c:val>
          <c:extLst>
            <c:ext xmlns:c16="http://schemas.microsoft.com/office/drawing/2014/chart" uri="{C3380CC4-5D6E-409C-BE32-E72D297353CC}">
              <c16:uniqueId val="{00000008-F288-4A66-AEFD-AADFC5151084}"/>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70000"/>
                </a:prstClr>
              </a:outerShdw>
            </a:effectLst>
          </c:spPr>
          <c:dPt>
            <c:idx val="0"/>
            <c:bubble3D val="0"/>
            <c:spPr>
              <a:gradFill>
                <a:gsLst>
                  <a:gs pos="0">
                    <a:schemeClr val="accent5">
                      <a:lumMod val="60000"/>
                      <a:lumOff val="40000"/>
                    </a:schemeClr>
                  </a:gs>
                  <a:gs pos="97000">
                    <a:srgbClr val="A62C97"/>
                  </a:gs>
                </a:gsLst>
                <a:lin ang="3000000" scaled="0"/>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1-0283-4642-950F-59695785AFCE}"/>
              </c:ext>
            </c:extLst>
          </c:dPt>
          <c:dPt>
            <c:idx val="1"/>
            <c:bubble3D val="0"/>
            <c:spPr>
              <a:gradFill>
                <a:gsLst>
                  <a:gs pos="100000">
                    <a:srgbClr val="61A7F5"/>
                  </a:gs>
                  <a:gs pos="0">
                    <a:srgbClr val="4077E3"/>
                  </a:gs>
                </a:gsLst>
                <a:lin ang="5400000" scaled="1"/>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3-0283-4642-950F-59695785AFCE}"/>
              </c:ext>
            </c:extLst>
          </c:dPt>
          <c:dPt>
            <c:idx val="2"/>
            <c:bubble3D val="0"/>
            <c:spPr>
              <a:gradFill>
                <a:gsLst>
                  <a:gs pos="0">
                    <a:srgbClr val="8070E2"/>
                  </a:gs>
                  <a:gs pos="100000">
                    <a:srgbClr val="5A4EBD"/>
                  </a:gs>
                </a:gsLst>
                <a:lin ang="5400000" scaled="1"/>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5-0283-4642-950F-59695785AFCE}"/>
              </c:ext>
            </c:extLst>
          </c:dPt>
          <c:dPt>
            <c:idx val="3"/>
            <c:bubble3D val="0"/>
            <c:spPr>
              <a:noFill/>
              <a:ln w="19050">
                <a:noFill/>
              </a:ln>
              <a:effectLst>
                <a:innerShdw blurRad="114300">
                  <a:prstClr val="black"/>
                </a:innerShdw>
              </a:effectLst>
            </c:spPr>
            <c:extLst>
              <c:ext xmlns:c16="http://schemas.microsoft.com/office/drawing/2014/chart" uri="{C3380CC4-5D6E-409C-BE32-E72D297353CC}">
                <c16:uniqueId val="{00000007-0283-4642-950F-59695785AFCE}"/>
              </c:ext>
            </c:extLst>
          </c:dPt>
          <c:cat>
            <c:strRef>
              <c:f>Processing!$J$2:$J$5</c:f>
              <c:strCache>
                <c:ptCount val="4"/>
                <c:pt idx="0">
                  <c:v>Referral</c:v>
                </c:pt>
                <c:pt idx="1">
                  <c:v>Social</c:v>
                </c:pt>
                <c:pt idx="2">
                  <c:v>Organic</c:v>
                </c:pt>
                <c:pt idx="3">
                  <c:v>Other</c:v>
                </c:pt>
              </c:strCache>
            </c:strRef>
          </c:cat>
          <c:val>
            <c:numRef>
              <c:f>Processing!$K$2:$K$5</c:f>
              <c:numCache>
                <c:formatCode>0%</c:formatCode>
                <c:ptCount val="4"/>
                <c:pt idx="0">
                  <c:v>0.12666666666666668</c:v>
                </c:pt>
                <c:pt idx="1">
                  <c:v>0.39333333333333331</c:v>
                </c:pt>
                <c:pt idx="2">
                  <c:v>0.17333333333333334</c:v>
                </c:pt>
                <c:pt idx="3">
                  <c:v>0.30666666666666664</c:v>
                </c:pt>
              </c:numCache>
            </c:numRef>
          </c:val>
          <c:extLst>
            <c:ext xmlns:c16="http://schemas.microsoft.com/office/drawing/2014/chart" uri="{C3380CC4-5D6E-409C-BE32-E72D297353CC}">
              <c16:uniqueId val="{00000008-0283-4642-950F-59695785AFCE}"/>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flip="none" rotWithShape="1">
              <a:gsLst>
                <a:gs pos="9000">
                  <a:srgbClr val="B471EC">
                    <a:alpha val="80000"/>
                  </a:srgbClr>
                </a:gs>
                <a:gs pos="100000">
                  <a:srgbClr val="5B59D0">
                    <a:alpha val="70000"/>
                  </a:srgbClr>
                </a:gs>
              </a:gsLst>
              <a:lin ang="5400000" scaled="1"/>
              <a:tileRect/>
            </a:gradFill>
            <a:ln>
              <a:noFill/>
            </a:ln>
            <a:effectLst>
              <a:outerShdw blurRad="50800" dist="38100" dir="8100000" algn="tr" rotWithShape="0">
                <a:prstClr val="black">
                  <a:alpha val="40000"/>
                </a:prstClr>
              </a:outerShdw>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0.80000000000000016</c:v>
                </c:pt>
                <c:pt idx="1">
                  <c:v>0.76666666666666661</c:v>
                </c:pt>
                <c:pt idx="2">
                  <c:v>0.76666666666666661</c:v>
                </c:pt>
                <c:pt idx="3">
                  <c:v>0.73333333333333339</c:v>
                </c:pt>
                <c:pt idx="4">
                  <c:v>0.73333333333333339</c:v>
                </c:pt>
                <c:pt idx="5">
                  <c:v>0.73333333333333339</c:v>
                </c:pt>
                <c:pt idx="6">
                  <c:v>0.69999999999999984</c:v>
                </c:pt>
                <c:pt idx="7">
                  <c:v>0.69999999999999984</c:v>
                </c:pt>
              </c:numCache>
            </c:numRef>
          </c:val>
          <c:extLst>
            <c:ext xmlns:c16="http://schemas.microsoft.com/office/drawing/2014/chart" uri="{C3380CC4-5D6E-409C-BE32-E72D297353CC}">
              <c16:uniqueId val="{00000000-83CA-4CAA-BB88-4A3AE2902A27}"/>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626DAE"/>
              </a:solidFill>
              <a:round/>
            </a:ln>
            <a:effectLst/>
          </c:spPr>
        </c:majorGridlines>
        <c:numFmt formatCode="0%" sourceLinked="1"/>
        <c:majorTickMark val="out"/>
        <c:minorTickMark val="none"/>
        <c:tickLblPos val="nextTo"/>
        <c:crossAx val="13381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0-9246-40A0-AE6C-0949A2CCB742}"/>
            </c:ext>
          </c:extLst>
        </c:ser>
        <c:ser>
          <c:idx val="1"/>
          <c:order val="1"/>
          <c:spPr>
            <a:solidFill>
              <a:schemeClr val="accent2"/>
            </a:solidFill>
            <a:ln w="127000">
              <a:gradFill>
                <a:gsLst>
                  <a:gs pos="65000">
                    <a:srgbClr val="5987F6"/>
                  </a:gs>
                  <a:gs pos="100000">
                    <a:srgbClr val="7A59CD"/>
                  </a:gs>
                </a:gsLst>
                <a:lin ang="5400000" scaled="1"/>
              </a:gradFill>
            </a:ln>
            <a:effectLst>
              <a:outerShdw blurRad="50800" dist="38100" dir="8100000" algn="tr" rotWithShape="0">
                <a:prstClr val="black">
                  <a:alpha val="40000"/>
                </a:prstClr>
              </a:outerShdw>
            </a:effectLst>
          </c:spPr>
          <c:invertIfNegative val="0"/>
          <c:val>
            <c:numRef>
              <c:f>Processing!$Q$2:$Q$5</c:f>
              <c:numCache>
                <c:formatCode>#\ ###\ ###</c:formatCode>
                <c:ptCount val="4"/>
                <c:pt idx="0">
                  <c:v>3873</c:v>
                </c:pt>
                <c:pt idx="1">
                  <c:v>9235</c:v>
                </c:pt>
                <c:pt idx="2">
                  <c:v>15418</c:v>
                </c:pt>
                <c:pt idx="3">
                  <c:v>21089</c:v>
                </c:pt>
              </c:numCache>
            </c:numRef>
          </c:val>
          <c:extLst>
            <c:ext xmlns:c16="http://schemas.microsoft.com/office/drawing/2014/chart" uri="{C3380CC4-5D6E-409C-BE32-E72D297353CC}">
              <c16:uniqueId val="{00000001-9246-40A0-AE6C-0949A2CCB742}"/>
            </c:ext>
          </c:extLst>
        </c:ser>
        <c:dLbls>
          <c:showLegendKey val="0"/>
          <c:showVal val="0"/>
          <c:showCatName val="0"/>
          <c:showSerName val="0"/>
          <c:showPercent val="0"/>
          <c:showBubbleSize val="0"/>
        </c:dLbls>
        <c:gapWidth val="220"/>
        <c:overlap val="100"/>
        <c:axId val="1015113280"/>
        <c:axId val="1015110400"/>
      </c:barChart>
      <c:barChart>
        <c:barDir val="col"/>
        <c:grouping val="stacked"/>
        <c:varyColors val="0"/>
        <c:ser>
          <c:idx val="2"/>
          <c:order val="2"/>
          <c:tx>
            <c:v>Indent Cursor</c:v>
          </c:tx>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2-9246-40A0-AE6C-0949A2CCB742}"/>
            </c:ext>
          </c:extLst>
        </c:ser>
        <c:ser>
          <c:idx val="3"/>
          <c:order val="3"/>
          <c:tx>
            <c:v>Cursor</c:v>
          </c:tx>
          <c:spPr>
            <a:solidFill>
              <a:schemeClr val="accent4"/>
            </a:solidFill>
            <a:ln w="127000">
              <a:gradFill>
                <a:gsLst>
                  <a:gs pos="0">
                    <a:schemeClr val="accent1">
                      <a:lumMod val="5000"/>
                      <a:lumOff val="95000"/>
                    </a:schemeClr>
                  </a:gs>
                  <a:gs pos="62000">
                    <a:schemeClr val="accent1">
                      <a:lumMod val="30000"/>
                      <a:lumOff val="70000"/>
                    </a:schemeClr>
                  </a:gs>
                </a:gsLst>
                <a:lin ang="5400000" scaled="1"/>
              </a:gradFill>
            </a:ln>
            <a:effectLst/>
          </c:spPr>
          <c:invertIfNegative val="0"/>
          <c:val>
            <c:numRef>
              <c:f>Processing!$R$2:$R$5</c:f>
              <c:numCache>
                <c:formatCode>#\ ###\ ###</c:formatCode>
                <c:ptCount val="4"/>
                <c:pt idx="0">
                  <c:v>#N/A</c:v>
                </c:pt>
                <c:pt idx="1">
                  <c:v>#N/A</c:v>
                </c:pt>
                <c:pt idx="2">
                  <c:v>15418</c:v>
                </c:pt>
                <c:pt idx="3">
                  <c:v>#N/A</c:v>
                </c:pt>
              </c:numCache>
            </c:numRef>
          </c:val>
          <c:extLst>
            <c:ext xmlns:c16="http://schemas.microsoft.com/office/drawing/2014/chart" uri="{C3380CC4-5D6E-409C-BE32-E72D297353CC}">
              <c16:uniqueId val="{00000003-9246-40A0-AE6C-0949A2CCB742}"/>
            </c:ext>
          </c:extLst>
        </c:ser>
        <c:dLbls>
          <c:showLegendKey val="0"/>
          <c:showVal val="0"/>
          <c:showCatName val="0"/>
          <c:showSerName val="0"/>
          <c:showPercent val="0"/>
          <c:showBubbleSize val="0"/>
        </c:dLbls>
        <c:gapWidth val="220"/>
        <c:overlap val="100"/>
        <c:axId val="1338170112"/>
        <c:axId val="1338171552"/>
      </c:barChart>
      <c:catAx>
        <c:axId val="1015113280"/>
        <c:scaling>
          <c:orientation val="minMax"/>
        </c:scaling>
        <c:delete val="1"/>
        <c:axPos val="b"/>
        <c:majorTickMark val="none"/>
        <c:minorTickMark val="none"/>
        <c:tickLblPos val="nextTo"/>
        <c:crossAx val="1015110400"/>
        <c:crosses val="autoZero"/>
        <c:auto val="1"/>
        <c:lblAlgn val="ctr"/>
        <c:lblOffset val="100"/>
        <c:noMultiLvlLbl val="0"/>
      </c:catAx>
      <c:valAx>
        <c:axId val="1015110400"/>
        <c:scaling>
          <c:orientation val="minMax"/>
        </c:scaling>
        <c:delete val="1"/>
        <c:axPos val="l"/>
        <c:numFmt formatCode="General" sourceLinked="1"/>
        <c:majorTickMark val="none"/>
        <c:minorTickMark val="none"/>
        <c:tickLblPos val="nextTo"/>
        <c:crossAx val="1015113280"/>
        <c:crosses val="autoZero"/>
        <c:crossBetween val="between"/>
      </c:valAx>
      <c:valAx>
        <c:axId val="1338171552"/>
        <c:scaling>
          <c:orientation val="minMax"/>
        </c:scaling>
        <c:delete val="1"/>
        <c:axPos val="r"/>
        <c:numFmt formatCode="General" sourceLinked="1"/>
        <c:majorTickMark val="out"/>
        <c:minorTickMark val="none"/>
        <c:tickLblPos val="nextTo"/>
        <c:crossAx val="1338170112"/>
        <c:crosses val="max"/>
        <c:crossBetween val="between"/>
      </c:valAx>
      <c:catAx>
        <c:axId val="1338170112"/>
        <c:scaling>
          <c:orientation val="minMax"/>
        </c:scaling>
        <c:delete val="1"/>
        <c:axPos val="b"/>
        <c:majorTickMark val="out"/>
        <c:minorTickMark val="none"/>
        <c:tickLblPos val="nextTo"/>
        <c:crossAx val="13381715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Processing!$I$2</c:f>
              <c:numCache>
                <c:formatCode>General</c:formatCode>
                <c:ptCount val="1"/>
                <c:pt idx="0">
                  <c:v>10</c:v>
                </c:pt>
              </c:numCache>
            </c:numRef>
          </c:val>
          <c:extLst>
            <c:ext xmlns:c16="http://schemas.microsoft.com/office/drawing/2014/chart" uri="{C3380CC4-5D6E-409C-BE32-E72D297353CC}">
              <c16:uniqueId val="{00000000-F329-4294-A092-AF24B7CDC9BA}"/>
            </c:ext>
          </c:extLst>
        </c:ser>
        <c:ser>
          <c:idx val="1"/>
          <c:order val="1"/>
          <c:spPr>
            <a:blipFill>
              <a:blip xmlns:r="http://schemas.openxmlformats.org/officeDocument/2006/relationships" r:embed="rId4"/>
              <a:stretch>
                <a:fillRect/>
              </a:stretch>
            </a:blipFill>
            <a:ln>
              <a:noFill/>
            </a:ln>
            <a:effectLst/>
          </c:spPr>
          <c:invertIfNegative val="0"/>
          <c:val>
            <c:numRef>
              <c:f>Processing!$I$3</c:f>
              <c:numCache>
                <c:formatCode>General</c:formatCode>
                <c:ptCount val="1"/>
                <c:pt idx="0">
                  <c:v>0</c:v>
                </c:pt>
              </c:numCache>
            </c:numRef>
          </c:val>
          <c:extLst>
            <c:ext xmlns:c16="http://schemas.microsoft.com/office/drawing/2014/chart" uri="{C3380CC4-5D6E-409C-BE32-E72D297353CC}">
              <c16:uniqueId val="{00000001-F329-4294-A092-AF24B7CDC9BA}"/>
            </c:ext>
          </c:extLst>
        </c:ser>
        <c:dLbls>
          <c:showLegendKey val="0"/>
          <c:showVal val="0"/>
          <c:showCatName val="0"/>
          <c:showSerName val="0"/>
          <c:showPercent val="0"/>
          <c:showBubbleSize val="0"/>
        </c:dLbls>
        <c:gapWidth val="0"/>
        <c:overlap val="100"/>
        <c:axId val="945048095"/>
        <c:axId val="945050015"/>
      </c:barChart>
      <c:catAx>
        <c:axId val="945048095"/>
        <c:scaling>
          <c:orientation val="minMax"/>
        </c:scaling>
        <c:delete val="1"/>
        <c:axPos val="b"/>
        <c:majorTickMark val="out"/>
        <c:minorTickMark val="none"/>
        <c:tickLblPos val="nextTo"/>
        <c:crossAx val="945050015"/>
        <c:crosses val="autoZero"/>
        <c:auto val="1"/>
        <c:lblAlgn val="ctr"/>
        <c:lblOffset val="100"/>
        <c:noMultiLvlLbl val="0"/>
      </c:catAx>
      <c:valAx>
        <c:axId val="945050015"/>
        <c:scaling>
          <c:orientation val="minMax"/>
          <c:max val="10"/>
        </c:scaling>
        <c:delete val="1"/>
        <c:axPos val="l"/>
        <c:numFmt formatCode="General" sourceLinked="1"/>
        <c:majorTickMark val="out"/>
        <c:minorTickMark val="none"/>
        <c:tickLblPos val="nextTo"/>
        <c:crossAx val="9450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D30F-44C9-B79A-F81DD15B1FD6}"/>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D30F-44C9-B79A-F81DD15B1FD6}"/>
              </c:ext>
            </c:extLst>
          </c:dPt>
          <c:dPt>
            <c:idx val="2"/>
            <c:bubble3D val="0"/>
            <c:spPr>
              <a:solidFill>
                <a:srgbClr val="01F3FF"/>
              </a:solidFill>
              <a:ln w="19050">
                <a:noFill/>
              </a:ln>
              <a:effectLst/>
            </c:spPr>
            <c:extLst>
              <c:ext xmlns:c16="http://schemas.microsoft.com/office/drawing/2014/chart" uri="{C3380CC4-5D6E-409C-BE32-E72D297353CC}">
                <c16:uniqueId val="{00000005-D30F-44C9-B79A-F81DD15B1FD6}"/>
              </c:ext>
            </c:extLst>
          </c:dPt>
          <c:dPt>
            <c:idx val="3"/>
            <c:bubble3D val="0"/>
            <c:spPr>
              <a:solidFill>
                <a:schemeClr val="bg1"/>
              </a:solidFill>
              <a:ln w="19050">
                <a:noFill/>
              </a:ln>
              <a:effectLst/>
            </c:spPr>
            <c:extLst>
              <c:ext xmlns:c16="http://schemas.microsoft.com/office/drawing/2014/chart" uri="{C3380CC4-5D6E-409C-BE32-E72D297353CC}">
                <c16:uniqueId val="{00000007-D30F-44C9-B79A-F81DD15B1FD6}"/>
              </c:ext>
            </c:extLst>
          </c:dPt>
          <c:val>
            <c:numRef>
              <c:f>Processing!$P$13:$P$16</c:f>
              <c:numCache>
                <c:formatCode>0%</c:formatCode>
                <c:ptCount val="4"/>
                <c:pt idx="0">
                  <c:v>0.91822666666666664</c:v>
                </c:pt>
                <c:pt idx="1">
                  <c:v>8.1773333333333365E-2</c:v>
                </c:pt>
                <c:pt idx="2">
                  <c:v>0</c:v>
                </c:pt>
                <c:pt idx="3">
                  <c:v>0</c:v>
                </c:pt>
              </c:numCache>
            </c:numRef>
          </c:val>
          <c:extLst>
            <c:ext xmlns:c16="http://schemas.microsoft.com/office/drawing/2014/chart" uri="{C3380CC4-5D6E-409C-BE32-E72D297353CC}">
              <c16:uniqueId val="{00000008-D30F-44C9-B79A-F81DD15B1FD6}"/>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flip="none" rotWithShape="1">
              <a:gsLst>
                <a:gs pos="9000">
                  <a:srgbClr val="B471EC">
                    <a:alpha val="80000"/>
                  </a:srgbClr>
                </a:gs>
                <a:gs pos="100000">
                  <a:srgbClr val="5B59D0">
                    <a:alpha val="70000"/>
                  </a:srgbClr>
                </a:gs>
              </a:gsLst>
              <a:lin ang="5400000" scaled="1"/>
              <a:tileRect/>
            </a:gradFill>
            <a:ln>
              <a:noFill/>
            </a:ln>
            <a:effectLst>
              <a:outerShdw blurRad="50800" dist="38100" dir="8100000" algn="tr" rotWithShape="0">
                <a:prstClr val="black">
                  <a:alpha val="40000"/>
                </a:prstClr>
              </a:outerShdw>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0.80000000000000016</c:v>
                </c:pt>
                <c:pt idx="1">
                  <c:v>0.76666666666666661</c:v>
                </c:pt>
                <c:pt idx="2">
                  <c:v>0.76666666666666661</c:v>
                </c:pt>
                <c:pt idx="3">
                  <c:v>0.73333333333333339</c:v>
                </c:pt>
                <c:pt idx="4">
                  <c:v>0.73333333333333339</c:v>
                </c:pt>
                <c:pt idx="5">
                  <c:v>0.73333333333333339</c:v>
                </c:pt>
                <c:pt idx="6">
                  <c:v>0.69999999999999984</c:v>
                </c:pt>
                <c:pt idx="7">
                  <c:v>0.69999999999999984</c:v>
                </c:pt>
              </c:numCache>
            </c:numRef>
          </c:val>
          <c:extLst>
            <c:ext xmlns:c16="http://schemas.microsoft.com/office/drawing/2014/chart" uri="{C3380CC4-5D6E-409C-BE32-E72D297353CC}">
              <c16:uniqueId val="{00000000-83CA-4CAA-BB88-4A3AE2902A27}"/>
            </c:ext>
          </c:extLst>
        </c:ser>
        <c:ser>
          <c:idx val="1"/>
          <c:order val="1"/>
          <c:tx>
            <c:strRef>
              <c:f>Processing!$M$7</c:f>
              <c:strCache>
                <c:ptCount val="1"/>
                <c:pt idx="0">
                  <c:v>Coverage Target</c:v>
                </c:pt>
              </c:strCache>
            </c:strRef>
          </c:tx>
          <c:spPr>
            <a:solidFill>
              <a:srgbClr val="2587D1">
                <a:alpha val="15000"/>
              </a:srgbClr>
            </a:solidFill>
            <a:ln w="19050">
              <a:solidFill>
                <a:schemeClr val="bg1"/>
              </a:solidFill>
            </a:ln>
            <a:effectLst/>
          </c:spPr>
          <c:val>
            <c:numRef>
              <c:f>Processing!$M$8:$M$15</c:f>
              <c:numCache>
                <c:formatCode>0%</c:formatCode>
                <c:ptCount val="8"/>
                <c:pt idx="0">
                  <c:v>0.8</c:v>
                </c:pt>
                <c:pt idx="1">
                  <c:v>0.8</c:v>
                </c:pt>
                <c:pt idx="2">
                  <c:v>0.8</c:v>
                </c:pt>
                <c:pt idx="3">
                  <c:v>0.8</c:v>
                </c:pt>
                <c:pt idx="4">
                  <c:v>0.8</c:v>
                </c:pt>
                <c:pt idx="5">
                  <c:v>0.8</c:v>
                </c:pt>
                <c:pt idx="6">
                  <c:v>0.8</c:v>
                </c:pt>
                <c:pt idx="7">
                  <c:v>0.8</c:v>
                </c:pt>
              </c:numCache>
            </c:numRef>
          </c:val>
          <c:extLst>
            <c:ext xmlns:c16="http://schemas.microsoft.com/office/drawing/2014/chart" uri="{C3380CC4-5D6E-409C-BE32-E72D297353CC}">
              <c16:uniqueId val="{00000000-9293-4A2B-8C8F-C949D6023317}"/>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626DAE"/>
              </a:solidFill>
              <a:round/>
            </a:ln>
            <a:effectLst/>
          </c:spPr>
        </c:majorGridlines>
        <c:numFmt formatCode="0%" sourceLinked="1"/>
        <c:majorTickMark val="out"/>
        <c:minorTickMark val="none"/>
        <c:tickLblPos val="nextTo"/>
        <c:crossAx val="13381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70000"/>
                </a:prstClr>
              </a:outerShdw>
            </a:effectLst>
          </c:spPr>
          <c:dPt>
            <c:idx val="0"/>
            <c:bubble3D val="0"/>
            <c:spPr>
              <a:gradFill>
                <a:gsLst>
                  <a:gs pos="0">
                    <a:schemeClr val="accent5">
                      <a:lumMod val="60000"/>
                      <a:lumOff val="40000"/>
                    </a:schemeClr>
                  </a:gs>
                  <a:gs pos="97000">
                    <a:srgbClr val="A62C97"/>
                  </a:gs>
                </a:gsLst>
                <a:lin ang="3000000" scaled="0"/>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1-5612-40B2-A4AB-7A4E20204790}"/>
              </c:ext>
            </c:extLst>
          </c:dPt>
          <c:dPt>
            <c:idx val="1"/>
            <c:bubble3D val="0"/>
            <c:spPr>
              <a:gradFill>
                <a:gsLst>
                  <a:gs pos="100000">
                    <a:srgbClr val="61A7F5"/>
                  </a:gs>
                  <a:gs pos="0">
                    <a:srgbClr val="4077E3"/>
                  </a:gs>
                </a:gsLst>
                <a:lin ang="5400000" scaled="1"/>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3-5612-40B2-A4AB-7A4E20204790}"/>
              </c:ext>
            </c:extLst>
          </c:dPt>
          <c:dPt>
            <c:idx val="2"/>
            <c:bubble3D val="0"/>
            <c:spPr>
              <a:gradFill>
                <a:gsLst>
                  <a:gs pos="0">
                    <a:srgbClr val="8070E2"/>
                  </a:gs>
                  <a:gs pos="100000">
                    <a:srgbClr val="5A4EBD"/>
                  </a:gs>
                </a:gsLst>
                <a:lin ang="5400000" scaled="1"/>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5-5612-40B2-A4AB-7A4E20204790}"/>
              </c:ext>
            </c:extLst>
          </c:dPt>
          <c:dPt>
            <c:idx val="3"/>
            <c:bubble3D val="0"/>
            <c:spPr>
              <a:noFill/>
              <a:ln w="19050">
                <a:noFill/>
              </a:ln>
              <a:effectLst>
                <a:innerShdw blurRad="114300">
                  <a:prstClr val="black"/>
                </a:innerShdw>
              </a:effectLst>
            </c:spPr>
            <c:extLst>
              <c:ext xmlns:c16="http://schemas.microsoft.com/office/drawing/2014/chart" uri="{C3380CC4-5D6E-409C-BE32-E72D297353CC}">
                <c16:uniqueId val="{00000007-5612-40B2-A4AB-7A4E20204790}"/>
              </c:ext>
            </c:extLst>
          </c:dPt>
          <c:cat>
            <c:strRef>
              <c:f>Processing!$J$2:$J$5</c:f>
              <c:strCache>
                <c:ptCount val="4"/>
                <c:pt idx="0">
                  <c:v>Referral</c:v>
                </c:pt>
                <c:pt idx="1">
                  <c:v>Social</c:v>
                </c:pt>
                <c:pt idx="2">
                  <c:v>Organic</c:v>
                </c:pt>
                <c:pt idx="3">
                  <c:v>Other</c:v>
                </c:pt>
              </c:strCache>
            </c:strRef>
          </c:cat>
          <c:val>
            <c:numRef>
              <c:f>Processing!$K$2:$K$5</c:f>
              <c:numCache>
                <c:formatCode>0%</c:formatCode>
                <c:ptCount val="4"/>
                <c:pt idx="0">
                  <c:v>0.12666666666666668</c:v>
                </c:pt>
                <c:pt idx="1">
                  <c:v>0.39333333333333331</c:v>
                </c:pt>
                <c:pt idx="2">
                  <c:v>0.17333333333333334</c:v>
                </c:pt>
                <c:pt idx="3">
                  <c:v>0.30666666666666664</c:v>
                </c:pt>
              </c:numCache>
            </c:numRef>
          </c:val>
          <c:extLst>
            <c:ext xmlns:c16="http://schemas.microsoft.com/office/drawing/2014/chart" uri="{C3380CC4-5D6E-409C-BE32-E72D297353CC}">
              <c16:uniqueId val="{00000008-5612-40B2-A4AB-7A4E20204790}"/>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flip="none" rotWithShape="1">
              <a:gsLst>
                <a:gs pos="9000">
                  <a:srgbClr val="B471EC">
                    <a:alpha val="80000"/>
                  </a:srgbClr>
                </a:gs>
                <a:gs pos="100000">
                  <a:srgbClr val="5B59D0">
                    <a:alpha val="70000"/>
                  </a:srgbClr>
                </a:gs>
              </a:gsLst>
              <a:lin ang="5400000" scaled="1"/>
              <a:tileRect/>
            </a:gradFill>
            <a:ln>
              <a:noFill/>
            </a:ln>
            <a:effectLst>
              <a:outerShdw blurRad="50800" dist="38100" dir="8100000" algn="tr" rotWithShape="0">
                <a:prstClr val="black">
                  <a:alpha val="40000"/>
                </a:prstClr>
              </a:outerShdw>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0.80000000000000016</c:v>
                </c:pt>
                <c:pt idx="1">
                  <c:v>0.76666666666666661</c:v>
                </c:pt>
                <c:pt idx="2">
                  <c:v>0.76666666666666661</c:v>
                </c:pt>
                <c:pt idx="3">
                  <c:v>0.73333333333333339</c:v>
                </c:pt>
                <c:pt idx="4">
                  <c:v>0.73333333333333339</c:v>
                </c:pt>
                <c:pt idx="5">
                  <c:v>0.73333333333333339</c:v>
                </c:pt>
                <c:pt idx="6">
                  <c:v>0.69999999999999984</c:v>
                </c:pt>
                <c:pt idx="7">
                  <c:v>0.69999999999999984</c:v>
                </c:pt>
              </c:numCache>
            </c:numRef>
          </c:val>
          <c:extLst>
            <c:ext xmlns:c16="http://schemas.microsoft.com/office/drawing/2014/chart" uri="{C3380CC4-5D6E-409C-BE32-E72D297353CC}">
              <c16:uniqueId val="{00000000-51FC-40DE-A71F-792E155C43CD}"/>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626DAE"/>
              </a:solidFill>
              <a:round/>
            </a:ln>
            <a:effectLst/>
          </c:spPr>
        </c:majorGridlines>
        <c:numFmt formatCode="0%" sourceLinked="1"/>
        <c:majorTickMark val="out"/>
        <c:minorTickMark val="none"/>
        <c:tickLblPos val="nextTo"/>
        <c:crossAx val="13381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0-A8B3-4B8D-956F-D4B95EA43F51}"/>
            </c:ext>
          </c:extLst>
        </c:ser>
        <c:ser>
          <c:idx val="1"/>
          <c:order val="1"/>
          <c:spPr>
            <a:solidFill>
              <a:schemeClr val="accent2"/>
            </a:solidFill>
            <a:ln w="127000">
              <a:gradFill>
                <a:gsLst>
                  <a:gs pos="65000">
                    <a:srgbClr val="5987F6"/>
                  </a:gs>
                  <a:gs pos="100000">
                    <a:srgbClr val="7A59CD"/>
                  </a:gs>
                </a:gsLst>
                <a:lin ang="5400000" scaled="1"/>
              </a:gradFill>
            </a:ln>
            <a:effectLst>
              <a:outerShdw blurRad="50800" dist="38100" dir="8100000" algn="tr" rotWithShape="0">
                <a:prstClr val="black">
                  <a:alpha val="40000"/>
                </a:prstClr>
              </a:outerShdw>
            </a:effectLst>
          </c:spPr>
          <c:invertIfNegative val="0"/>
          <c:val>
            <c:numRef>
              <c:f>Processing!$Q$2:$Q$5</c:f>
              <c:numCache>
                <c:formatCode>#\ ###\ ###</c:formatCode>
                <c:ptCount val="4"/>
                <c:pt idx="0">
                  <c:v>3873</c:v>
                </c:pt>
                <c:pt idx="1">
                  <c:v>9235</c:v>
                </c:pt>
                <c:pt idx="2">
                  <c:v>15418</c:v>
                </c:pt>
                <c:pt idx="3">
                  <c:v>21089</c:v>
                </c:pt>
              </c:numCache>
            </c:numRef>
          </c:val>
          <c:extLst>
            <c:ext xmlns:c16="http://schemas.microsoft.com/office/drawing/2014/chart" uri="{C3380CC4-5D6E-409C-BE32-E72D297353CC}">
              <c16:uniqueId val="{00000001-A8B3-4B8D-956F-D4B95EA43F51}"/>
            </c:ext>
          </c:extLst>
        </c:ser>
        <c:dLbls>
          <c:showLegendKey val="0"/>
          <c:showVal val="0"/>
          <c:showCatName val="0"/>
          <c:showSerName val="0"/>
          <c:showPercent val="0"/>
          <c:showBubbleSize val="0"/>
        </c:dLbls>
        <c:gapWidth val="220"/>
        <c:overlap val="100"/>
        <c:axId val="1015113280"/>
        <c:axId val="1015110400"/>
      </c:barChart>
      <c:barChart>
        <c:barDir val="col"/>
        <c:grouping val="stacked"/>
        <c:varyColors val="0"/>
        <c:ser>
          <c:idx val="2"/>
          <c:order val="2"/>
          <c:tx>
            <c:v>Indent Cursor</c:v>
          </c:tx>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2-A8B3-4B8D-956F-D4B95EA43F51}"/>
            </c:ext>
          </c:extLst>
        </c:ser>
        <c:ser>
          <c:idx val="3"/>
          <c:order val="3"/>
          <c:tx>
            <c:v>Cursor</c:v>
          </c:tx>
          <c:spPr>
            <a:solidFill>
              <a:schemeClr val="accent4"/>
            </a:solidFill>
            <a:ln w="127000">
              <a:gradFill>
                <a:gsLst>
                  <a:gs pos="0">
                    <a:schemeClr val="accent1">
                      <a:lumMod val="5000"/>
                      <a:lumOff val="95000"/>
                    </a:schemeClr>
                  </a:gs>
                  <a:gs pos="62000">
                    <a:schemeClr val="accent1">
                      <a:lumMod val="30000"/>
                      <a:lumOff val="70000"/>
                    </a:schemeClr>
                  </a:gs>
                </a:gsLst>
                <a:lin ang="5400000" scaled="1"/>
              </a:gradFill>
            </a:ln>
            <a:effectLst/>
          </c:spPr>
          <c:invertIfNegative val="0"/>
          <c:val>
            <c:numRef>
              <c:f>Processing!$R$2:$R$5</c:f>
              <c:numCache>
                <c:formatCode>#\ ###\ ###</c:formatCode>
                <c:ptCount val="4"/>
                <c:pt idx="0">
                  <c:v>#N/A</c:v>
                </c:pt>
                <c:pt idx="1">
                  <c:v>#N/A</c:v>
                </c:pt>
                <c:pt idx="2">
                  <c:v>15418</c:v>
                </c:pt>
                <c:pt idx="3">
                  <c:v>#N/A</c:v>
                </c:pt>
              </c:numCache>
            </c:numRef>
          </c:val>
          <c:extLst>
            <c:ext xmlns:c16="http://schemas.microsoft.com/office/drawing/2014/chart" uri="{C3380CC4-5D6E-409C-BE32-E72D297353CC}">
              <c16:uniqueId val="{00000003-A8B3-4B8D-956F-D4B95EA43F51}"/>
            </c:ext>
          </c:extLst>
        </c:ser>
        <c:dLbls>
          <c:showLegendKey val="0"/>
          <c:showVal val="0"/>
          <c:showCatName val="0"/>
          <c:showSerName val="0"/>
          <c:showPercent val="0"/>
          <c:showBubbleSize val="0"/>
        </c:dLbls>
        <c:gapWidth val="220"/>
        <c:overlap val="100"/>
        <c:axId val="1338170112"/>
        <c:axId val="1338171552"/>
      </c:barChart>
      <c:catAx>
        <c:axId val="1015113280"/>
        <c:scaling>
          <c:orientation val="minMax"/>
        </c:scaling>
        <c:delete val="1"/>
        <c:axPos val="b"/>
        <c:majorTickMark val="none"/>
        <c:minorTickMark val="none"/>
        <c:tickLblPos val="nextTo"/>
        <c:crossAx val="1015110400"/>
        <c:crosses val="autoZero"/>
        <c:auto val="1"/>
        <c:lblAlgn val="ctr"/>
        <c:lblOffset val="100"/>
        <c:noMultiLvlLbl val="0"/>
      </c:catAx>
      <c:valAx>
        <c:axId val="1015110400"/>
        <c:scaling>
          <c:orientation val="minMax"/>
        </c:scaling>
        <c:delete val="1"/>
        <c:axPos val="l"/>
        <c:numFmt formatCode="General" sourceLinked="1"/>
        <c:majorTickMark val="none"/>
        <c:minorTickMark val="none"/>
        <c:tickLblPos val="nextTo"/>
        <c:crossAx val="1015113280"/>
        <c:crosses val="autoZero"/>
        <c:crossBetween val="between"/>
      </c:valAx>
      <c:valAx>
        <c:axId val="1338171552"/>
        <c:scaling>
          <c:orientation val="minMax"/>
        </c:scaling>
        <c:delete val="1"/>
        <c:axPos val="r"/>
        <c:numFmt formatCode="General" sourceLinked="1"/>
        <c:majorTickMark val="out"/>
        <c:minorTickMark val="none"/>
        <c:tickLblPos val="nextTo"/>
        <c:crossAx val="1338170112"/>
        <c:crosses val="max"/>
        <c:crossBetween val="between"/>
      </c:valAx>
      <c:catAx>
        <c:axId val="1338170112"/>
        <c:scaling>
          <c:orientation val="minMax"/>
        </c:scaling>
        <c:delete val="1"/>
        <c:axPos val="b"/>
        <c:majorTickMark val="out"/>
        <c:minorTickMark val="none"/>
        <c:tickLblPos val="nextTo"/>
        <c:crossAx val="13381715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65D5-4251-B596-8DB73E1EB043}"/>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65D5-4251-B596-8DB73E1EB043}"/>
              </c:ext>
            </c:extLst>
          </c:dPt>
          <c:dPt>
            <c:idx val="2"/>
            <c:bubble3D val="0"/>
            <c:spPr>
              <a:solidFill>
                <a:srgbClr val="01F3FF"/>
              </a:solidFill>
              <a:ln w="19050">
                <a:noFill/>
              </a:ln>
              <a:effectLst/>
            </c:spPr>
            <c:extLst>
              <c:ext xmlns:c16="http://schemas.microsoft.com/office/drawing/2014/chart" uri="{C3380CC4-5D6E-409C-BE32-E72D297353CC}">
                <c16:uniqueId val="{00000005-65D5-4251-B596-8DB73E1EB043}"/>
              </c:ext>
            </c:extLst>
          </c:dPt>
          <c:dPt>
            <c:idx val="3"/>
            <c:bubble3D val="0"/>
            <c:spPr>
              <a:solidFill>
                <a:schemeClr val="bg1"/>
              </a:solidFill>
              <a:ln w="19050">
                <a:noFill/>
              </a:ln>
              <a:effectLst/>
            </c:spPr>
            <c:extLst>
              <c:ext xmlns:c16="http://schemas.microsoft.com/office/drawing/2014/chart" uri="{C3380CC4-5D6E-409C-BE32-E72D297353CC}">
                <c16:uniqueId val="{00000007-65D5-4251-B596-8DB73E1EB043}"/>
              </c:ext>
            </c:extLst>
          </c:dPt>
          <c:val>
            <c:numRef>
              <c:f>Processing!$P$13:$P$16</c:f>
              <c:numCache>
                <c:formatCode>0%</c:formatCode>
                <c:ptCount val="4"/>
                <c:pt idx="0">
                  <c:v>0.91822666666666664</c:v>
                </c:pt>
                <c:pt idx="1">
                  <c:v>8.1773333333333365E-2</c:v>
                </c:pt>
                <c:pt idx="2">
                  <c:v>0</c:v>
                </c:pt>
                <c:pt idx="3">
                  <c:v>0</c:v>
                </c:pt>
              </c:numCache>
            </c:numRef>
          </c:val>
          <c:extLst>
            <c:ext xmlns:c16="http://schemas.microsoft.com/office/drawing/2014/chart" uri="{C3380CC4-5D6E-409C-BE32-E72D297353CC}">
              <c16:uniqueId val="{00000008-65D5-4251-B596-8DB73E1EB04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Processing!$L$17</c:f>
              <c:strCache>
                <c:ptCount val="1"/>
                <c:pt idx="0">
                  <c:v>Referral</c:v>
                </c:pt>
              </c:strCache>
            </c:strRef>
          </c:tx>
          <c:spPr>
            <a:ln w="28575" cap="rnd">
              <a:gradFill>
                <a:gsLst>
                  <a:gs pos="0">
                    <a:srgbClr val="A62C97"/>
                  </a:gs>
                  <a:gs pos="100000">
                    <a:srgbClr val="D86ECC"/>
                  </a:gs>
                </a:gsLst>
                <a:lin ang="0" scaled="0"/>
              </a:gradFill>
              <a:round/>
            </a:ln>
            <a:effectLst>
              <a:outerShdw blurRad="50800" dist="38100" dir="5400000" algn="t" rotWithShape="0">
                <a:prstClr val="black">
                  <a:alpha val="40000"/>
                </a:prstClr>
              </a:outerShdw>
            </a:effectLst>
          </c:spPr>
          <c:marker>
            <c:symbol val="none"/>
          </c:marker>
          <c:cat>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Processing!$L$18:$L$29</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0-37AF-4741-A250-6923D4F9DD8E}"/>
            </c:ext>
          </c:extLst>
        </c:ser>
        <c:ser>
          <c:idx val="1"/>
          <c:order val="1"/>
          <c:tx>
            <c:strRef>
              <c:f>Processing!$M$17</c:f>
              <c:strCache>
                <c:ptCount val="1"/>
                <c:pt idx="0">
                  <c:v>Social</c:v>
                </c:pt>
              </c:strCache>
            </c:strRef>
          </c:tx>
          <c:spPr>
            <a:ln w="28575" cap="rnd">
              <a:gradFill>
                <a:gsLst>
                  <a:gs pos="0">
                    <a:srgbClr val="4077E3">
                      <a:lumMod val="98000"/>
                    </a:srgbClr>
                  </a:gs>
                  <a:gs pos="100000">
                    <a:srgbClr val="61A7F5"/>
                  </a:gs>
                </a:gsLst>
                <a:lin ang="0" scaled="0"/>
              </a:gradFill>
              <a:round/>
            </a:ln>
            <a:effectLst>
              <a:outerShdw blurRad="50800" dist="38100" dir="5400000" algn="t" rotWithShape="0">
                <a:prstClr val="black">
                  <a:alpha val="40000"/>
                </a:prstClr>
              </a:outerShdw>
            </a:effectLst>
          </c:spPr>
          <c:marker>
            <c:symbol val="none"/>
          </c:marker>
          <c:cat>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Processing!$M$18:$M$29</c:f>
              <c:numCache>
                <c:formatCode>0%</c:formatCode>
                <c:ptCount val="12"/>
                <c:pt idx="0">
                  <c:v>0.33</c:v>
                </c:pt>
                <c:pt idx="1">
                  <c:v>0.45</c:v>
                </c:pt>
                <c:pt idx="2">
                  <c:v>0.38</c:v>
                </c:pt>
                <c:pt idx="3">
                  <c:v>0.41</c:v>
                </c:pt>
                <c:pt idx="4">
                  <c:v>0.23</c:v>
                </c:pt>
                <c:pt idx="5">
                  <c:v>0.23</c:v>
                </c:pt>
                <c:pt idx="6">
                  <c:v>0.32</c:v>
                </c:pt>
                <c:pt idx="7">
                  <c:v>0.24</c:v>
                </c:pt>
                <c:pt idx="8">
                  <c:v>0.4</c:v>
                </c:pt>
                <c:pt idx="9">
                  <c:v>0.5</c:v>
                </c:pt>
                <c:pt idx="10">
                  <c:v>0.33</c:v>
                </c:pt>
                <c:pt idx="11">
                  <c:v>0.3</c:v>
                </c:pt>
              </c:numCache>
            </c:numRef>
          </c:val>
          <c:smooth val="1"/>
          <c:extLst>
            <c:ext xmlns:c16="http://schemas.microsoft.com/office/drawing/2014/chart" uri="{C3380CC4-5D6E-409C-BE32-E72D297353CC}">
              <c16:uniqueId val="{00000001-37AF-4741-A250-6923D4F9DD8E}"/>
            </c:ext>
          </c:extLst>
        </c:ser>
        <c:ser>
          <c:idx val="2"/>
          <c:order val="2"/>
          <c:tx>
            <c:strRef>
              <c:f>Processing!$N$17</c:f>
              <c:strCache>
                <c:ptCount val="1"/>
                <c:pt idx="0">
                  <c:v>Organic</c:v>
                </c:pt>
              </c:strCache>
            </c:strRef>
          </c:tx>
          <c:spPr>
            <a:ln w="28575" cap="rnd">
              <a:gradFill>
                <a:gsLst>
                  <a:gs pos="0">
                    <a:srgbClr val="5A4EBD"/>
                  </a:gs>
                  <a:gs pos="100000">
                    <a:srgbClr val="8070E2"/>
                  </a:gs>
                </a:gsLst>
                <a:lin ang="0" scaled="0"/>
              </a:gradFill>
              <a:round/>
            </a:ln>
            <a:effectLst>
              <a:outerShdw blurRad="50800" dist="38100" dir="5400000" algn="t" rotWithShape="0">
                <a:prstClr val="black">
                  <a:alpha val="40000"/>
                </a:prstClr>
              </a:outerShdw>
            </a:effectLst>
          </c:spPr>
          <c:marker>
            <c:symbol val="none"/>
          </c:marker>
          <c:cat>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Processing!$N$18:$N$29</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2-37AF-4741-A250-6923D4F9DD8E}"/>
            </c:ext>
          </c:extLst>
        </c:ser>
        <c:ser>
          <c:idx val="3"/>
          <c:order val="3"/>
          <c:tx>
            <c:strRef>
              <c:f>Processing!$O$17</c:f>
              <c:strCache>
                <c:ptCount val="1"/>
                <c:pt idx="0">
                  <c:v>Other</c:v>
                </c:pt>
              </c:strCache>
            </c:strRef>
          </c:tx>
          <c:spPr>
            <a:ln w="28575" cap="rnd">
              <a:gradFill>
                <a:gsLst>
                  <a:gs pos="1000">
                    <a:srgbClr val="49375B"/>
                  </a:gs>
                  <a:gs pos="100000">
                    <a:srgbClr val="977DB1"/>
                  </a:gs>
                </a:gsLst>
                <a:lin ang="0" scaled="0"/>
              </a:gradFill>
              <a:round/>
            </a:ln>
            <a:effectLst>
              <a:outerShdw blurRad="50800" dist="38100" dir="5400000" algn="t" rotWithShape="0">
                <a:prstClr val="black">
                  <a:alpha val="40000"/>
                </a:prstClr>
              </a:outerShdw>
            </a:effectLst>
          </c:spPr>
          <c:marker>
            <c:symbol val="none"/>
          </c:marker>
          <c:cat>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Processing!$O$18:$O$29</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3-37AF-4741-A250-6923D4F9DD8E}"/>
            </c:ext>
          </c:extLst>
        </c:ser>
        <c:dLbls>
          <c:showLegendKey val="0"/>
          <c:showVal val="0"/>
          <c:showCatName val="0"/>
          <c:showSerName val="0"/>
          <c:showPercent val="0"/>
          <c:showBubbleSize val="0"/>
        </c:dLbls>
        <c:marker val="1"/>
        <c:smooth val="0"/>
        <c:axId val="983484256"/>
        <c:axId val="983484736"/>
      </c:lineChart>
      <c:scatterChart>
        <c:scatterStyle val="lineMarker"/>
        <c:varyColors val="0"/>
        <c:ser>
          <c:idx val="4"/>
          <c:order val="4"/>
          <c:tx>
            <c:strRef>
              <c:f>Processing!$P$17</c:f>
              <c:strCache>
                <c:ptCount val="1"/>
                <c:pt idx="0">
                  <c:v>Cursor</c:v>
                </c:pt>
              </c:strCache>
            </c:strRef>
          </c:tx>
          <c:spPr>
            <a:ln w="25400" cap="rnd">
              <a:noFill/>
              <a:round/>
            </a:ln>
            <a:effectLst/>
          </c:spPr>
          <c:marker>
            <c:symbol val="circle"/>
            <c:size val="5"/>
            <c:spPr>
              <a:solidFill>
                <a:srgbClr val="B9CCFB"/>
              </a:solidFill>
              <a:ln w="9525">
                <a:noFill/>
              </a:ln>
              <a:effectLst/>
            </c:spPr>
          </c:marker>
          <c:errBars>
            <c:errDir val="y"/>
            <c:errBarType val="minus"/>
            <c:errValType val="cust"/>
            <c:noEndCap val="0"/>
            <c:plus>
              <c:numLit>
                <c:formatCode>General</c:formatCode>
                <c:ptCount val="1"/>
                <c:pt idx="0">
                  <c:v>1</c:v>
                </c:pt>
              </c:numLit>
            </c:plus>
            <c:minus>
              <c:numRef>
                <c:f>Processing!$P$18:$P$29</c:f>
                <c:numCache>
                  <c:formatCode>General</c:formatCode>
                  <c:ptCount val="12"/>
                  <c:pt idx="0">
                    <c:v>#N/A</c:v>
                  </c:pt>
                  <c:pt idx="1">
                    <c:v>0.6</c:v>
                  </c:pt>
                  <c:pt idx="2">
                    <c:v>#N/A</c:v>
                  </c:pt>
                  <c:pt idx="3">
                    <c:v>0.6</c:v>
                  </c:pt>
                  <c:pt idx="4">
                    <c:v>#N/A</c:v>
                  </c:pt>
                  <c:pt idx="5">
                    <c:v>#N/A</c:v>
                  </c:pt>
                  <c:pt idx="6">
                    <c:v>0.6</c:v>
                  </c:pt>
                  <c:pt idx="7">
                    <c:v>#N/A</c:v>
                  </c:pt>
                  <c:pt idx="8">
                    <c:v>#N/A</c:v>
                  </c:pt>
                  <c:pt idx="9">
                    <c:v>#N/A</c:v>
                  </c:pt>
                  <c:pt idx="10">
                    <c:v>#N/A</c:v>
                  </c:pt>
                  <c:pt idx="11">
                    <c:v>#N/A</c:v>
                  </c:pt>
                </c:numCache>
              </c:numRef>
            </c:minus>
            <c:spPr>
              <a:noFill/>
              <a:ln w="9525" cap="flat" cmpd="sng" algn="ctr">
                <a:solidFill>
                  <a:srgbClr val="B9CCFB"/>
                </a:solidFill>
                <a:round/>
              </a:ln>
              <a:effectLst/>
            </c:spPr>
          </c:errBars>
          <c:xVal>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Processing!$P$18:$P$29</c:f>
              <c:numCache>
                <c:formatCode>0%</c:formatCode>
                <c:ptCount val="12"/>
                <c:pt idx="0">
                  <c:v>#N/A</c:v>
                </c:pt>
                <c:pt idx="1">
                  <c:v>0.6</c:v>
                </c:pt>
                <c:pt idx="2">
                  <c:v>#N/A</c:v>
                </c:pt>
                <c:pt idx="3">
                  <c:v>0.6</c:v>
                </c:pt>
                <c:pt idx="4">
                  <c:v>#N/A</c:v>
                </c:pt>
                <c:pt idx="5">
                  <c:v>#N/A</c:v>
                </c:pt>
                <c:pt idx="6">
                  <c:v>0.6</c:v>
                </c:pt>
                <c:pt idx="7">
                  <c:v>#N/A</c:v>
                </c:pt>
                <c:pt idx="8">
                  <c:v>#N/A</c:v>
                </c:pt>
                <c:pt idx="9">
                  <c:v>#N/A</c:v>
                </c:pt>
                <c:pt idx="10">
                  <c:v>#N/A</c:v>
                </c:pt>
                <c:pt idx="11">
                  <c:v>#N/A</c:v>
                </c:pt>
              </c:numCache>
            </c:numRef>
          </c:yVal>
          <c:smooth val="0"/>
          <c:extLst>
            <c:ext xmlns:c16="http://schemas.microsoft.com/office/drawing/2014/chart" uri="{C3380CC4-5D6E-409C-BE32-E72D297353CC}">
              <c16:uniqueId val="{00000004-37AF-4741-A250-6923D4F9DD8E}"/>
            </c:ext>
          </c:extLst>
        </c:ser>
        <c:dLbls>
          <c:showLegendKey val="0"/>
          <c:showVal val="0"/>
          <c:showCatName val="0"/>
          <c:showSerName val="0"/>
          <c:showPercent val="0"/>
          <c:showBubbleSize val="0"/>
        </c:dLbls>
        <c:axId val="983484256"/>
        <c:axId val="983484736"/>
      </c:scatterChart>
      <c:catAx>
        <c:axId val="983484256"/>
        <c:scaling>
          <c:orientation val="minMax"/>
        </c:scaling>
        <c:delete val="1"/>
        <c:axPos val="b"/>
        <c:numFmt formatCode="General" sourceLinked="1"/>
        <c:majorTickMark val="none"/>
        <c:minorTickMark val="none"/>
        <c:tickLblPos val="nextTo"/>
        <c:crossAx val="983484736"/>
        <c:crosses val="autoZero"/>
        <c:auto val="1"/>
        <c:lblAlgn val="ctr"/>
        <c:lblOffset val="100"/>
        <c:noMultiLvlLbl val="0"/>
      </c:catAx>
      <c:valAx>
        <c:axId val="983484736"/>
        <c:scaling>
          <c:orientation val="minMax"/>
          <c:min val="0"/>
        </c:scaling>
        <c:delete val="0"/>
        <c:axPos val="l"/>
        <c:majorGridlines>
          <c:spPr>
            <a:ln w="9525" cap="flat" cmpd="sng" algn="ctr">
              <a:solidFill>
                <a:srgbClr val="626DAE"/>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ru-RU"/>
          </a:p>
        </c:txPr>
        <c:crossAx val="98348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Processing!$H$1" lockText="1" noThreeD="1"/>
</file>

<file path=xl/ctrlProps/ctrlProp2.xml><?xml version="1.0" encoding="utf-8"?>
<formControlPr xmlns="http://schemas.microsoft.com/office/spreadsheetml/2009/9/main" objectType="CheckBox" checked="Checked" fmlaLink="Processing!$H$1" lockText="1" noThreeD="1"/>
</file>

<file path=xl/ctrlProps/ctrlProp3.xml><?xml version="1.0" encoding="utf-8"?>
<formControlPr xmlns="http://schemas.microsoft.com/office/spreadsheetml/2009/9/main" objectType="CheckBox" checked="Checked" fmlaLink="Processing!$H$1" lockText="1" noThreeD="1"/>
</file>

<file path=xl/drawings/_rels/drawing1.xml.rels><?xml version="1.0" encoding="UTF-8" standalone="yes"?>
<Relationships xmlns="http://schemas.openxmlformats.org/package/2006/relationships"><Relationship Id="rId8" Type="http://schemas.openxmlformats.org/officeDocument/2006/relationships/hyperlink" Target="#Sales!A1"/><Relationship Id="rId13"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hyperlink" Target="#'DASHBOARD Light'!A1"/><Relationship Id="rId17"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5.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Coverage!A1"/><Relationship Id="rId5" Type="http://schemas.openxmlformats.org/officeDocument/2006/relationships/chart" Target="../charts/chart5.xml"/><Relationship Id="rId15" Type="http://schemas.openxmlformats.org/officeDocument/2006/relationships/hyperlink" Target="#'DASHBOARD Bright'!A1"/><Relationship Id="rId10" Type="http://schemas.openxmlformats.org/officeDocument/2006/relationships/hyperlink" Target="#Tariffs!A1"/><Relationship Id="rId4" Type="http://schemas.openxmlformats.org/officeDocument/2006/relationships/chart" Target="../charts/chart4.xml"/><Relationship Id="rId9" Type="http://schemas.openxmlformats.org/officeDocument/2006/relationships/hyperlink" Target="#Traffic!A1"/><Relationship Id="rId14" Type="http://schemas.openxmlformats.org/officeDocument/2006/relationships/image" Target="../media/image4.svg"/></Relationships>
</file>

<file path=xl/drawings/_rels/drawing2.xml.rels><?xml version="1.0" encoding="UTF-8" standalone="yes"?>
<Relationships xmlns="http://schemas.openxmlformats.org/package/2006/relationships"><Relationship Id="rId8" Type="http://schemas.openxmlformats.org/officeDocument/2006/relationships/hyperlink" Target="#Traffic!A1"/><Relationship Id="rId13" Type="http://schemas.openxmlformats.org/officeDocument/2006/relationships/image" Target="../media/image4.svg"/><Relationship Id="rId3" Type="http://schemas.openxmlformats.org/officeDocument/2006/relationships/chart" Target="../charts/chart10.xml"/><Relationship Id="rId7" Type="http://schemas.openxmlformats.org/officeDocument/2006/relationships/hyperlink" Target="#DASHBOARD!A1"/><Relationship Id="rId12" Type="http://schemas.openxmlformats.org/officeDocument/2006/relationships/image" Target="../media/image3.png"/><Relationship Id="rId2" Type="http://schemas.openxmlformats.org/officeDocument/2006/relationships/chart" Target="../charts/chart9.xml"/><Relationship Id="rId16" Type="http://schemas.openxmlformats.org/officeDocument/2006/relationships/image" Target="../media/image6.svg"/><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hyperlink" Target="#'Sales Light'!A1"/><Relationship Id="rId5" Type="http://schemas.openxmlformats.org/officeDocument/2006/relationships/chart" Target="../charts/chart12.xml"/><Relationship Id="rId15" Type="http://schemas.openxmlformats.org/officeDocument/2006/relationships/image" Target="../media/image5.png"/><Relationship Id="rId10" Type="http://schemas.openxmlformats.org/officeDocument/2006/relationships/hyperlink" Target="#Coverage!A1"/><Relationship Id="rId4" Type="http://schemas.openxmlformats.org/officeDocument/2006/relationships/chart" Target="../charts/chart11.xml"/><Relationship Id="rId9" Type="http://schemas.openxmlformats.org/officeDocument/2006/relationships/hyperlink" Target="#Tariffs!A1"/><Relationship Id="rId14" Type="http://schemas.openxmlformats.org/officeDocument/2006/relationships/hyperlink" Target="#'Sales Bright'!A1"/></Relationships>
</file>

<file path=xl/drawings/_rels/drawing3.xml.rels><?xml version="1.0" encoding="UTF-8" standalone="yes"?>
<Relationships xmlns="http://schemas.openxmlformats.org/package/2006/relationships"><Relationship Id="rId8" Type="http://schemas.openxmlformats.org/officeDocument/2006/relationships/hyperlink" Target="#Traffic!A1"/><Relationship Id="rId13" Type="http://schemas.openxmlformats.org/officeDocument/2006/relationships/image" Target="../media/image3.png"/><Relationship Id="rId3" Type="http://schemas.openxmlformats.org/officeDocument/2006/relationships/chart" Target="../charts/chart16.xml"/><Relationship Id="rId7" Type="http://schemas.openxmlformats.org/officeDocument/2006/relationships/hyperlink" Target="#Sales!A1"/><Relationship Id="rId12" Type="http://schemas.openxmlformats.org/officeDocument/2006/relationships/hyperlink" Target="#'Coverage Light'!A1"/><Relationship Id="rId17" Type="http://schemas.openxmlformats.org/officeDocument/2006/relationships/image" Target="../media/image6.svg"/><Relationship Id="rId2" Type="http://schemas.openxmlformats.org/officeDocument/2006/relationships/chart" Target="../charts/chart15.xml"/><Relationship Id="rId16" Type="http://schemas.openxmlformats.org/officeDocument/2006/relationships/image" Target="../media/image5.png"/><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hyperlink" Target="#DASHBOARD!A1"/><Relationship Id="rId5" Type="http://schemas.openxmlformats.org/officeDocument/2006/relationships/chart" Target="../charts/chart18.xml"/><Relationship Id="rId15" Type="http://schemas.openxmlformats.org/officeDocument/2006/relationships/hyperlink" Target="#'Coverage Bright'!A1"/><Relationship Id="rId10" Type="http://schemas.openxmlformats.org/officeDocument/2006/relationships/hyperlink" Target="#Coverage!A1"/><Relationship Id="rId4" Type="http://schemas.openxmlformats.org/officeDocument/2006/relationships/chart" Target="../charts/chart17.xml"/><Relationship Id="rId9" Type="http://schemas.openxmlformats.org/officeDocument/2006/relationships/hyperlink" Target="#Tariffs!A1"/><Relationship Id="rId14" Type="http://schemas.openxmlformats.org/officeDocument/2006/relationships/image" Target="../media/image4.svg"/></Relationships>
</file>

<file path=xl/drawings/_rels/drawing4.xml.rels><?xml version="1.0" encoding="UTF-8" standalone="yes"?>
<Relationships xmlns="http://schemas.openxmlformats.org/package/2006/relationships"><Relationship Id="rId8" Type="http://schemas.openxmlformats.org/officeDocument/2006/relationships/hyperlink" Target="#Tariffs!A1"/><Relationship Id="rId13" Type="http://schemas.openxmlformats.org/officeDocument/2006/relationships/image" Target="../media/image4.svg"/><Relationship Id="rId3" Type="http://schemas.openxmlformats.org/officeDocument/2006/relationships/chart" Target="../charts/chart22.xml"/><Relationship Id="rId7" Type="http://schemas.openxmlformats.org/officeDocument/2006/relationships/hyperlink" Target="#Traffic!A1"/><Relationship Id="rId12" Type="http://schemas.openxmlformats.org/officeDocument/2006/relationships/image" Target="../media/image3.png"/><Relationship Id="rId2" Type="http://schemas.openxmlformats.org/officeDocument/2006/relationships/chart" Target="../charts/chart21.xml"/><Relationship Id="rId16" Type="http://schemas.openxmlformats.org/officeDocument/2006/relationships/image" Target="../media/image6.svg"/><Relationship Id="rId1" Type="http://schemas.openxmlformats.org/officeDocument/2006/relationships/chart" Target="../charts/chart20.xml"/><Relationship Id="rId6" Type="http://schemas.openxmlformats.org/officeDocument/2006/relationships/hyperlink" Target="#Sales!A1"/><Relationship Id="rId11" Type="http://schemas.openxmlformats.org/officeDocument/2006/relationships/hyperlink" Target="#'Traffic Light'!A1"/><Relationship Id="rId5" Type="http://schemas.openxmlformats.org/officeDocument/2006/relationships/chart" Target="../charts/chart24.xml"/><Relationship Id="rId15" Type="http://schemas.openxmlformats.org/officeDocument/2006/relationships/image" Target="../media/image5.png"/><Relationship Id="rId10" Type="http://schemas.openxmlformats.org/officeDocument/2006/relationships/hyperlink" Target="#DASHBOARD!A1"/><Relationship Id="rId4" Type="http://schemas.openxmlformats.org/officeDocument/2006/relationships/chart" Target="../charts/chart23.xml"/><Relationship Id="rId9" Type="http://schemas.openxmlformats.org/officeDocument/2006/relationships/hyperlink" Target="#Coverage!A1"/><Relationship Id="rId14" Type="http://schemas.openxmlformats.org/officeDocument/2006/relationships/hyperlink" Target="#'Traffic Bright'!A1"/></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0</xdr:rowOff>
    </xdr:from>
    <xdr:to>
      <xdr:col>24</xdr:col>
      <xdr:colOff>7620</xdr:colOff>
      <xdr:row>45</xdr:row>
      <xdr:rowOff>0</xdr:rowOff>
    </xdr:to>
    <xdr:grpSp>
      <xdr:nvGrpSpPr>
        <xdr:cNvPr id="2" name="Group 1">
          <a:extLst>
            <a:ext uri="{FF2B5EF4-FFF2-40B4-BE49-F238E27FC236}">
              <a16:creationId xmlns:a16="http://schemas.microsoft.com/office/drawing/2014/main" id="{65C9005C-2AA9-73C4-A337-18BA55DEF010}"/>
            </a:ext>
          </a:extLst>
        </xdr:cNvPr>
        <xdr:cNvGrpSpPr/>
      </xdr:nvGrpSpPr>
      <xdr:grpSpPr>
        <a:xfrm>
          <a:off x="7620" y="0"/>
          <a:ext cx="14630400" cy="8572500"/>
          <a:chOff x="172844" y="6858000"/>
          <a:chExt cx="11850624" cy="7235580"/>
        </a:xfrm>
      </xdr:grpSpPr>
      <xdr:sp macro="" textlink="">
        <xdr:nvSpPr>
          <xdr:cNvPr id="3" name="Rectangle 2">
            <a:extLst>
              <a:ext uri="{FF2B5EF4-FFF2-40B4-BE49-F238E27FC236}">
                <a16:creationId xmlns:a16="http://schemas.microsoft.com/office/drawing/2014/main" id="{A947540C-9B83-0BC4-EA1D-9658789C1E1D}"/>
              </a:ext>
            </a:extLst>
          </xdr:cNvPr>
          <xdr:cNvSpPr/>
        </xdr:nvSpPr>
        <xdr:spPr>
          <a:xfrm>
            <a:off x="172844" y="6858000"/>
            <a:ext cx="11846312" cy="7235580"/>
          </a:xfrm>
          <a:prstGeom prst="rect">
            <a:avLst/>
          </a:prstGeom>
          <a:gradFill flip="none" rotWithShape="1">
            <a:gsLst>
              <a:gs pos="28000">
                <a:srgbClr val="353C96"/>
              </a:gs>
              <a:gs pos="97000">
                <a:srgbClr val="2587D1"/>
              </a:gs>
            </a:gsLst>
            <a:lin ang="30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 name="Rectangle 3">
            <a:extLst>
              <a:ext uri="{FF2B5EF4-FFF2-40B4-BE49-F238E27FC236}">
                <a16:creationId xmlns:a16="http://schemas.microsoft.com/office/drawing/2014/main" id="{2EEFB082-D00F-6D1E-F570-E21BB4963CCF}"/>
              </a:ext>
            </a:extLst>
          </xdr:cNvPr>
          <xdr:cNvSpPr/>
        </xdr:nvSpPr>
        <xdr:spPr>
          <a:xfrm>
            <a:off x="172844" y="6858000"/>
            <a:ext cx="11850624" cy="7235580"/>
          </a:xfrm>
          <a:prstGeom prst="rect">
            <a:avLst/>
          </a:prstGeom>
          <a:gradFill flip="none" rotWithShape="1">
            <a:gsLst>
              <a:gs pos="0">
                <a:srgbClr val="A66AB0"/>
              </a:gs>
              <a:gs pos="37000">
                <a:srgbClr val="353C97">
                  <a:alpha val="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91440</xdr:colOff>
      <xdr:row>2</xdr:row>
      <xdr:rowOff>15240</xdr:rowOff>
    </xdr:from>
    <xdr:to>
      <xdr:col>20</xdr:col>
      <xdr:colOff>426720</xdr:colOff>
      <xdr:row>37</xdr:row>
      <xdr:rowOff>106680</xdr:rowOff>
    </xdr:to>
    <xdr:grpSp>
      <xdr:nvGrpSpPr>
        <xdr:cNvPr id="5" name="Group 4">
          <a:extLst>
            <a:ext uri="{FF2B5EF4-FFF2-40B4-BE49-F238E27FC236}">
              <a16:creationId xmlns:a16="http://schemas.microsoft.com/office/drawing/2014/main" id="{DEB2981D-54DF-AA47-EB77-B061533A7FE5}"/>
            </a:ext>
          </a:extLst>
        </xdr:cNvPr>
        <xdr:cNvGrpSpPr/>
      </xdr:nvGrpSpPr>
      <xdr:grpSpPr>
        <a:xfrm>
          <a:off x="1920240" y="396240"/>
          <a:ext cx="10698480" cy="6758940"/>
          <a:chOff x="914143" y="7218382"/>
          <a:chExt cx="10698480" cy="6492240"/>
        </a:xfrm>
        <a:effectLst>
          <a:outerShdw blurRad="571500" dist="190500" dir="8100000" algn="tr" rotWithShape="0">
            <a:prstClr val="black">
              <a:alpha val="60000"/>
            </a:prstClr>
          </a:outerShdw>
        </a:effectLst>
      </xdr:grpSpPr>
      <xdr:sp macro="" textlink="">
        <xdr:nvSpPr>
          <xdr:cNvPr id="18" name="Rectangle: Rounded Corners 17">
            <a:extLst>
              <a:ext uri="{FF2B5EF4-FFF2-40B4-BE49-F238E27FC236}">
                <a16:creationId xmlns:a16="http://schemas.microsoft.com/office/drawing/2014/main" id="{856E9558-5015-DB05-C678-9DBB108F37D2}"/>
              </a:ext>
            </a:extLst>
          </xdr:cNvPr>
          <xdr:cNvSpPr/>
        </xdr:nvSpPr>
        <xdr:spPr>
          <a:xfrm>
            <a:off x="914143" y="7218382"/>
            <a:ext cx="10698480" cy="6492240"/>
          </a:xfrm>
          <a:prstGeom prst="roundRect">
            <a:avLst>
              <a:gd name="adj" fmla="val 5678"/>
            </a:avLst>
          </a:prstGeom>
          <a:gradFill flip="none" rotWithShape="1">
            <a:gsLst>
              <a:gs pos="100000">
                <a:srgbClr val="1A598D"/>
              </a:gs>
              <a:gs pos="72000">
                <a:srgbClr val="353874"/>
              </a:gs>
              <a:gs pos="27000">
                <a:srgbClr val="353874"/>
              </a:gs>
              <a:gs pos="0">
                <a:srgbClr val="43348B"/>
              </a:gs>
            </a:gsLst>
            <a:lin ang="2700000" scaled="1"/>
            <a:tileRect/>
          </a:gradFill>
          <a:ln w="9525">
            <a:gradFill flip="none" rotWithShape="1">
              <a:gsLst>
                <a:gs pos="0">
                  <a:srgbClr val="00B0F0"/>
                </a:gs>
                <a:gs pos="100000">
                  <a:srgbClr val="7030A0"/>
                </a:gs>
                <a:gs pos="58000">
                  <a:srgbClr val="8776B8"/>
                </a:gs>
                <a:gs pos="34000">
                  <a:srgbClr val="F2BBF3"/>
                </a:gs>
              </a:gsLst>
              <a:lin ang="135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Rounded Corners 18">
            <a:extLst>
              <a:ext uri="{FF2B5EF4-FFF2-40B4-BE49-F238E27FC236}">
                <a16:creationId xmlns:a16="http://schemas.microsoft.com/office/drawing/2014/main" id="{BA371109-2D3E-B2E9-E007-597F54C3F3CC}"/>
              </a:ext>
            </a:extLst>
          </xdr:cNvPr>
          <xdr:cNvSpPr/>
        </xdr:nvSpPr>
        <xdr:spPr>
          <a:xfrm>
            <a:off x="914143" y="7218382"/>
            <a:ext cx="10698480" cy="6492240"/>
          </a:xfrm>
          <a:prstGeom prst="roundRect">
            <a:avLst>
              <a:gd name="adj" fmla="val 5678"/>
            </a:avLst>
          </a:prstGeom>
          <a:gradFill flip="none" rotWithShape="1">
            <a:gsLst>
              <a:gs pos="100000">
                <a:srgbClr val="5E376F"/>
              </a:gs>
              <a:gs pos="72000">
                <a:srgbClr val="353874">
                  <a:alpha val="0"/>
                </a:srgbClr>
              </a:gs>
              <a:gs pos="27000">
                <a:srgbClr val="353874">
                  <a:alpha val="0"/>
                </a:srgbClr>
              </a:gs>
              <a:gs pos="0">
                <a:srgbClr val="43348B"/>
              </a:gs>
            </a:gsLst>
            <a:lin ang="18900000" scaled="1"/>
            <a:tileRect/>
          </a:gradFill>
          <a:ln w="9525">
            <a:gradFill flip="none" rotWithShape="1">
              <a:gsLst>
                <a:gs pos="0">
                  <a:srgbClr val="00B0F0"/>
                </a:gs>
                <a:gs pos="100000">
                  <a:srgbClr val="9079D9"/>
                </a:gs>
                <a:gs pos="68000">
                  <a:srgbClr val="6956B1"/>
                </a:gs>
                <a:gs pos="34000">
                  <a:srgbClr val="F2BBF3"/>
                </a:gs>
              </a:gsLst>
              <a:lin ang="135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488462</xdr:colOff>
      <xdr:row>3</xdr:row>
      <xdr:rowOff>167548</xdr:rowOff>
    </xdr:from>
    <xdr:to>
      <xdr:col>7</xdr:col>
      <xdr:colOff>492048</xdr:colOff>
      <xdr:row>20</xdr:row>
      <xdr:rowOff>125879</xdr:rowOff>
    </xdr:to>
    <xdr:sp macro="" textlink="">
      <xdr:nvSpPr>
        <xdr:cNvPr id="6" name="Rectangle: Rounded Corners 5">
          <a:extLst>
            <a:ext uri="{FF2B5EF4-FFF2-40B4-BE49-F238E27FC236}">
              <a16:creationId xmlns:a16="http://schemas.microsoft.com/office/drawing/2014/main" id="{DD7CB8B6-4861-055E-1AEE-0C0EBE512C5B}"/>
            </a:ext>
          </a:extLst>
        </xdr:cNvPr>
        <xdr:cNvSpPr/>
      </xdr:nvSpPr>
      <xdr:spPr>
        <a:xfrm>
          <a:off x="2317262" y="716188"/>
          <a:ext cx="2441986" cy="3067291"/>
        </a:xfrm>
        <a:prstGeom prst="roundRect">
          <a:avLst>
            <a:gd name="adj" fmla="val 9318"/>
          </a:avLst>
        </a:prstGeom>
        <a:gradFill flip="none" rotWithShape="1">
          <a:gsLst>
            <a:gs pos="3000">
              <a:srgbClr val="574998"/>
            </a:gs>
            <a:gs pos="76000">
              <a:srgbClr val="262D6A"/>
            </a:gs>
          </a:gsLst>
          <a:lin ang="6600000" scaled="0"/>
          <a:tileRect/>
        </a:gradFill>
        <a:ln w="9525">
          <a:gradFill flip="none" rotWithShape="1">
            <a:gsLst>
              <a:gs pos="0">
                <a:srgbClr val="BB75D8"/>
              </a:gs>
              <a:gs pos="51000">
                <a:srgbClr val="3B3E75"/>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100053</xdr:colOff>
      <xdr:row>3</xdr:row>
      <xdr:rowOff>170237</xdr:rowOff>
    </xdr:from>
    <xdr:to>
      <xdr:col>12</xdr:col>
      <xdr:colOff>474302</xdr:colOff>
      <xdr:row>20</xdr:row>
      <xdr:rowOff>128568</xdr:rowOff>
    </xdr:to>
    <xdr:sp macro="" textlink="">
      <xdr:nvSpPr>
        <xdr:cNvPr id="7" name="Rectangle: Rounded Corners 6">
          <a:extLst>
            <a:ext uri="{FF2B5EF4-FFF2-40B4-BE49-F238E27FC236}">
              <a16:creationId xmlns:a16="http://schemas.microsoft.com/office/drawing/2014/main" id="{320940A8-D26B-4110-87A1-71FBE95370FC}"/>
            </a:ext>
          </a:extLst>
        </xdr:cNvPr>
        <xdr:cNvSpPr/>
      </xdr:nvSpPr>
      <xdr:spPr>
        <a:xfrm>
          <a:off x="4976853" y="718877"/>
          <a:ext cx="2812649" cy="3067291"/>
        </a:xfrm>
        <a:prstGeom prst="roundRect">
          <a:avLst>
            <a:gd name="adj" fmla="val 8437"/>
          </a:avLst>
        </a:prstGeom>
        <a:gradFill flip="none" rotWithShape="1">
          <a:gsLst>
            <a:gs pos="0">
              <a:srgbClr val="7D59A1"/>
            </a:gs>
            <a:gs pos="68000">
              <a:srgbClr val="30306F"/>
            </a:gs>
          </a:gsLst>
          <a:lin ang="6600000" scaled="0"/>
          <a:tileRect/>
        </a:gradFill>
        <a:ln w="9525">
          <a:gradFill flip="none" rotWithShape="1">
            <a:gsLst>
              <a:gs pos="0">
                <a:srgbClr val="EB97ED"/>
              </a:gs>
              <a:gs pos="49000">
                <a:srgbClr val="404380"/>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317657</xdr:colOff>
      <xdr:row>12</xdr:row>
      <xdr:rowOff>136199</xdr:rowOff>
    </xdr:from>
    <xdr:to>
      <xdr:col>12</xdr:col>
      <xdr:colOff>256697</xdr:colOff>
      <xdr:row>19</xdr:row>
      <xdr:rowOff>44759</xdr:rowOff>
    </xdr:to>
    <xdr:grpSp>
      <xdr:nvGrpSpPr>
        <xdr:cNvPr id="8" name="Group 7">
          <a:extLst>
            <a:ext uri="{FF2B5EF4-FFF2-40B4-BE49-F238E27FC236}">
              <a16:creationId xmlns:a16="http://schemas.microsoft.com/office/drawing/2014/main" id="{C64D4754-A15F-CB4D-BE14-0AFF50037040}"/>
            </a:ext>
          </a:extLst>
        </xdr:cNvPr>
        <xdr:cNvGrpSpPr/>
      </xdr:nvGrpSpPr>
      <xdr:grpSpPr>
        <a:xfrm>
          <a:off x="5194457" y="2422199"/>
          <a:ext cx="2377440" cy="1242060"/>
          <a:chOff x="4327066" y="2477006"/>
          <a:chExt cx="2017854" cy="1200912"/>
        </a:xfrm>
        <a:effectLst>
          <a:outerShdw blurRad="190500" dist="63500" dir="8100000" algn="tr" rotWithShape="0">
            <a:prstClr val="black">
              <a:alpha val="80000"/>
            </a:prstClr>
          </a:outerShdw>
        </a:effectLst>
      </xdr:grpSpPr>
      <xdr:sp macro="" textlink="">
        <xdr:nvSpPr>
          <xdr:cNvPr id="16" name="Rectangle: Rounded Corners 15">
            <a:extLst>
              <a:ext uri="{FF2B5EF4-FFF2-40B4-BE49-F238E27FC236}">
                <a16:creationId xmlns:a16="http://schemas.microsoft.com/office/drawing/2014/main" id="{21CD9839-D5FE-E0B1-3CE0-3FE8F00BDB6B}"/>
              </a:ext>
            </a:extLst>
          </xdr:cNvPr>
          <xdr:cNvSpPr/>
        </xdr:nvSpPr>
        <xdr:spPr>
          <a:xfrm>
            <a:off x="4327066" y="2477006"/>
            <a:ext cx="2017854" cy="1200912"/>
          </a:xfrm>
          <a:prstGeom prst="roundRect">
            <a:avLst>
              <a:gd name="adj" fmla="val 12606"/>
            </a:avLst>
          </a:prstGeom>
          <a:gradFill flip="none" rotWithShape="1">
            <a:gsLst>
              <a:gs pos="0">
                <a:srgbClr val="614AAB"/>
              </a:gs>
              <a:gs pos="93000">
                <a:srgbClr val="394CA9"/>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Q8">
        <xdr:nvSpPr>
          <xdr:cNvPr id="17" name="Rectangle: Rounded Corners 16">
            <a:extLst>
              <a:ext uri="{FF2B5EF4-FFF2-40B4-BE49-F238E27FC236}">
                <a16:creationId xmlns:a16="http://schemas.microsoft.com/office/drawing/2014/main" id="{52356B0C-91FA-9E07-A59B-B24686C55825}"/>
              </a:ext>
            </a:extLst>
          </xdr:cNvPr>
          <xdr:cNvSpPr/>
        </xdr:nvSpPr>
        <xdr:spPr>
          <a:xfrm>
            <a:off x="4327066" y="2477006"/>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6CBDB07D-9677-49EA-9D28-FB05AE8A6784}" type="TxLink">
              <a:rPr lang="en-US" sz="4000" b="0" i="0" u="none" strike="noStrike">
                <a:solidFill>
                  <a:schemeClr val="bg1"/>
                </a:solidFill>
                <a:latin typeface="Aptos Narrow"/>
              </a:rPr>
              <a:pPr algn="l"/>
              <a:t> 5 058</a:t>
            </a:fld>
            <a:endParaRPr lang="ru-RU" sz="4000">
              <a:solidFill>
                <a:schemeClr val="bg1"/>
              </a:solidFill>
            </a:endParaRPr>
          </a:p>
        </xdr:txBody>
      </xdr:sp>
    </xdr:grpSp>
    <xdr:clientData/>
  </xdr:twoCellAnchor>
  <xdr:twoCellAnchor>
    <xdr:from>
      <xdr:col>8</xdr:col>
      <xdr:colOff>317657</xdr:colOff>
      <xdr:row>5</xdr:row>
      <xdr:rowOff>25457</xdr:rowOff>
    </xdr:from>
    <xdr:to>
      <xdr:col>12</xdr:col>
      <xdr:colOff>256697</xdr:colOff>
      <xdr:row>11</xdr:row>
      <xdr:rowOff>116897</xdr:rowOff>
    </xdr:to>
    <xdr:grpSp>
      <xdr:nvGrpSpPr>
        <xdr:cNvPr id="9" name="Group 8">
          <a:extLst>
            <a:ext uri="{FF2B5EF4-FFF2-40B4-BE49-F238E27FC236}">
              <a16:creationId xmlns:a16="http://schemas.microsoft.com/office/drawing/2014/main" id="{37208BA6-EDD1-59B5-6ECD-C116A2ADE6A5}"/>
            </a:ext>
          </a:extLst>
        </xdr:cNvPr>
        <xdr:cNvGrpSpPr/>
      </xdr:nvGrpSpPr>
      <xdr:grpSpPr>
        <a:xfrm>
          <a:off x="5194457" y="977957"/>
          <a:ext cx="2377440" cy="1234440"/>
          <a:chOff x="4327066" y="2477006"/>
          <a:chExt cx="2017854" cy="1200912"/>
        </a:xfrm>
        <a:effectLst>
          <a:outerShdw blurRad="190500" dist="63500" dir="8100000" algn="tr" rotWithShape="0">
            <a:prstClr val="black">
              <a:alpha val="80000"/>
            </a:prstClr>
          </a:outerShdw>
        </a:effectLst>
      </xdr:grpSpPr>
      <xdr:sp macro="" textlink="">
        <xdr:nvSpPr>
          <xdr:cNvPr id="14" name="Rectangle: Rounded Corners 13">
            <a:extLst>
              <a:ext uri="{FF2B5EF4-FFF2-40B4-BE49-F238E27FC236}">
                <a16:creationId xmlns:a16="http://schemas.microsoft.com/office/drawing/2014/main" id="{3C6F46E2-C5CB-FBA2-F7D1-DFEEAC6DAF53}"/>
              </a:ext>
            </a:extLst>
          </xdr:cNvPr>
          <xdr:cNvSpPr/>
        </xdr:nvSpPr>
        <xdr:spPr>
          <a:xfrm>
            <a:off x="4327066" y="2477006"/>
            <a:ext cx="2017854" cy="1200912"/>
          </a:xfrm>
          <a:prstGeom prst="roundRect">
            <a:avLst>
              <a:gd name="adj" fmla="val 12606"/>
            </a:avLst>
          </a:prstGeom>
          <a:gradFill flip="none" rotWithShape="1">
            <a:gsLst>
              <a:gs pos="0">
                <a:srgbClr val="614AAB"/>
              </a:gs>
              <a:gs pos="93000">
                <a:srgbClr val="394CA9"/>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E15">
        <xdr:nvSpPr>
          <xdr:cNvPr id="15" name="Rectangle: Rounded Corners 14">
            <a:extLst>
              <a:ext uri="{FF2B5EF4-FFF2-40B4-BE49-F238E27FC236}">
                <a16:creationId xmlns:a16="http://schemas.microsoft.com/office/drawing/2014/main" id="{543505F8-4B0B-457F-3652-A4444E12D155}"/>
              </a:ext>
            </a:extLst>
          </xdr:cNvPr>
          <xdr:cNvSpPr/>
        </xdr:nvSpPr>
        <xdr:spPr>
          <a:xfrm>
            <a:off x="4327066" y="2477006"/>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7F9CE73C-E2A6-491B-A672-9AFFE5A714CF}" type="TxLink">
              <a:rPr lang="en-US" sz="3400" b="0" i="0" u="none" strike="noStrike">
                <a:solidFill>
                  <a:schemeClr val="bg1"/>
                </a:solidFill>
                <a:latin typeface="Aptos Narrow"/>
              </a:rPr>
              <a:pPr algn="l"/>
              <a:t> $206,601 </a:t>
            </a:fld>
            <a:endParaRPr lang="ru-RU" sz="3400">
              <a:solidFill>
                <a:schemeClr val="bg1"/>
              </a:solidFill>
            </a:endParaRPr>
          </a:p>
        </xdr:txBody>
      </xdr:sp>
    </xdr:grpSp>
    <xdr:clientData/>
  </xdr:twoCellAnchor>
  <xdr:twoCellAnchor>
    <xdr:from>
      <xdr:col>13</xdr:col>
      <xdr:colOff>117892</xdr:colOff>
      <xdr:row>3</xdr:row>
      <xdr:rowOff>167548</xdr:rowOff>
    </xdr:from>
    <xdr:to>
      <xdr:col>20</xdr:col>
      <xdr:colOff>11212</xdr:colOff>
      <xdr:row>17</xdr:row>
      <xdr:rowOff>86268</xdr:rowOff>
    </xdr:to>
    <xdr:sp macro="" textlink="">
      <xdr:nvSpPr>
        <xdr:cNvPr id="10" name="Rectangle: Rounded Corners 9">
          <a:extLst>
            <a:ext uri="{FF2B5EF4-FFF2-40B4-BE49-F238E27FC236}">
              <a16:creationId xmlns:a16="http://schemas.microsoft.com/office/drawing/2014/main" id="{2B2C5B8F-8CA2-E2EE-B7E4-C377C2DB4413}"/>
            </a:ext>
          </a:extLst>
        </xdr:cNvPr>
        <xdr:cNvSpPr/>
      </xdr:nvSpPr>
      <xdr:spPr>
        <a:xfrm>
          <a:off x="8042692" y="716188"/>
          <a:ext cx="4160520" cy="2479040"/>
        </a:xfrm>
        <a:prstGeom prst="roundRect">
          <a:avLst>
            <a:gd name="adj" fmla="val 8437"/>
          </a:avLst>
        </a:prstGeom>
        <a:gradFill flip="none" rotWithShape="1">
          <a:gsLst>
            <a:gs pos="85000">
              <a:srgbClr val="4F4C91"/>
            </a:gs>
            <a:gs pos="34000">
              <a:srgbClr val="7B5FA2"/>
            </a:gs>
            <a:gs pos="0">
              <a:srgbClr val="9D71AE"/>
            </a:gs>
            <a:gs pos="69000">
              <a:srgbClr val="5A4E94"/>
            </a:gs>
          </a:gsLst>
          <a:lin ang="6000000" scaled="0"/>
          <a:tileRect/>
        </a:gradFill>
        <a:ln w="9525">
          <a:gradFill flip="none" rotWithShape="1">
            <a:gsLst>
              <a:gs pos="0">
                <a:srgbClr val="F2BBF3"/>
              </a:gs>
              <a:gs pos="58000">
                <a:srgbClr val="9079D9"/>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tx2">
                <a:lumMod val="10000"/>
                <a:lumOff val="90000"/>
              </a:schemeClr>
            </a:solidFill>
          </a:endParaRPr>
        </a:p>
      </xdr:txBody>
    </xdr:sp>
    <xdr:clientData/>
  </xdr:twoCellAnchor>
  <xdr:twoCellAnchor>
    <xdr:from>
      <xdr:col>16</xdr:col>
      <xdr:colOff>346492</xdr:colOff>
      <xdr:row>18</xdr:row>
      <xdr:rowOff>130175</xdr:rowOff>
    </xdr:from>
    <xdr:to>
      <xdr:col>20</xdr:col>
      <xdr:colOff>11212</xdr:colOff>
      <xdr:row>35</xdr:row>
      <xdr:rowOff>130175</xdr:rowOff>
    </xdr:to>
    <xdr:sp macro="" textlink="">
      <xdr:nvSpPr>
        <xdr:cNvPr id="11" name="Rectangle: Rounded Corners 10">
          <a:extLst>
            <a:ext uri="{FF2B5EF4-FFF2-40B4-BE49-F238E27FC236}">
              <a16:creationId xmlns:a16="http://schemas.microsoft.com/office/drawing/2014/main" id="{678C2659-E375-8E07-5D28-5B8FD7AC9B3E}"/>
            </a:ext>
          </a:extLst>
        </xdr:cNvPr>
        <xdr:cNvSpPr/>
      </xdr:nvSpPr>
      <xdr:spPr>
        <a:xfrm>
          <a:off x="10100092" y="3422015"/>
          <a:ext cx="2103120" cy="3108960"/>
        </a:xfrm>
        <a:prstGeom prst="roundRect">
          <a:avLst>
            <a:gd name="adj" fmla="val 8437"/>
          </a:avLst>
        </a:prstGeom>
        <a:gradFill flip="none" rotWithShape="1">
          <a:gsLst>
            <a:gs pos="68536">
              <a:srgbClr val="324385"/>
            </a:gs>
            <a:gs pos="100000">
              <a:srgbClr val="2A3E7E"/>
            </a:gs>
            <a:gs pos="28000">
              <a:srgbClr val="3F488D"/>
            </a:gs>
            <a:gs pos="0">
              <a:srgbClr val="56549D"/>
            </a:gs>
          </a:gsLst>
          <a:lin ang="5400000" scaled="0"/>
          <a:tileRect/>
        </a:gradFill>
        <a:ln w="9525">
          <a:gradFill>
            <a:gsLst>
              <a:gs pos="0">
                <a:srgbClr val="997ABC"/>
              </a:gs>
              <a:gs pos="100000">
                <a:srgbClr val="404380"/>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13</xdr:col>
      <xdr:colOff>117892</xdr:colOff>
      <xdr:row>18</xdr:row>
      <xdr:rowOff>130175</xdr:rowOff>
    </xdr:from>
    <xdr:to>
      <xdr:col>16</xdr:col>
      <xdr:colOff>117892</xdr:colOff>
      <xdr:row>35</xdr:row>
      <xdr:rowOff>130175</xdr:rowOff>
    </xdr:to>
    <xdr:sp macro="" textlink="">
      <xdr:nvSpPr>
        <xdr:cNvPr id="12" name="Rectangle: Rounded Corners 11">
          <a:extLst>
            <a:ext uri="{FF2B5EF4-FFF2-40B4-BE49-F238E27FC236}">
              <a16:creationId xmlns:a16="http://schemas.microsoft.com/office/drawing/2014/main" id="{6633E419-C88D-447E-97E4-E914A6041E5F}"/>
            </a:ext>
          </a:extLst>
        </xdr:cNvPr>
        <xdr:cNvSpPr/>
      </xdr:nvSpPr>
      <xdr:spPr>
        <a:xfrm>
          <a:off x="8042692" y="3422015"/>
          <a:ext cx="1828800" cy="3108960"/>
        </a:xfrm>
        <a:prstGeom prst="roundRect">
          <a:avLst>
            <a:gd name="adj" fmla="val 8437"/>
          </a:avLst>
        </a:prstGeom>
        <a:gradFill flip="none" rotWithShape="1">
          <a:gsLst>
            <a:gs pos="68536">
              <a:srgbClr val="324385"/>
            </a:gs>
            <a:gs pos="100000">
              <a:srgbClr val="2A3E7E"/>
            </a:gs>
            <a:gs pos="28000">
              <a:srgbClr val="3F488D"/>
            </a:gs>
            <a:gs pos="0">
              <a:srgbClr val="56549D"/>
            </a:gs>
          </a:gsLst>
          <a:lin ang="5400000" scaled="0"/>
          <a:tileRect/>
        </a:gradFill>
        <a:ln w="9525">
          <a:gradFill>
            <a:gsLst>
              <a:gs pos="0">
                <a:srgbClr val="997ABC"/>
              </a:gs>
              <a:gs pos="100000">
                <a:srgbClr val="404380"/>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482872</xdr:colOff>
      <xdr:row>22</xdr:row>
      <xdr:rowOff>8255</xdr:rowOff>
    </xdr:from>
    <xdr:to>
      <xdr:col>12</xdr:col>
      <xdr:colOff>474302</xdr:colOff>
      <xdr:row>35</xdr:row>
      <xdr:rowOff>130175</xdr:rowOff>
    </xdr:to>
    <xdr:sp macro="" textlink="">
      <xdr:nvSpPr>
        <xdr:cNvPr id="13" name="Rectangle: Rounded Corners 12">
          <a:extLst>
            <a:ext uri="{FF2B5EF4-FFF2-40B4-BE49-F238E27FC236}">
              <a16:creationId xmlns:a16="http://schemas.microsoft.com/office/drawing/2014/main" id="{4EE61247-8BEC-519E-AF4C-C105D1BA9DA4}"/>
            </a:ext>
          </a:extLst>
        </xdr:cNvPr>
        <xdr:cNvSpPr/>
      </xdr:nvSpPr>
      <xdr:spPr>
        <a:xfrm>
          <a:off x="2311672" y="4031615"/>
          <a:ext cx="5477830" cy="2499360"/>
        </a:xfrm>
        <a:prstGeom prst="roundRect">
          <a:avLst>
            <a:gd name="adj" fmla="val 7521"/>
          </a:avLst>
        </a:prstGeom>
        <a:gradFill>
          <a:gsLst>
            <a:gs pos="0">
              <a:srgbClr val="515092"/>
            </a:gs>
            <a:gs pos="79000">
              <a:srgbClr val="2C3977"/>
            </a:gs>
          </a:gsLst>
          <a:lin ang="5400000" scaled="0"/>
        </a:gradFill>
        <a:ln w="9525">
          <a:gradFill flip="none" rotWithShape="1">
            <a:gsLst>
              <a:gs pos="0">
                <a:srgbClr val="997ABC"/>
              </a:gs>
              <a:gs pos="81000">
                <a:srgbClr val="404380"/>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106680</xdr:colOff>
      <xdr:row>5</xdr:row>
      <xdr:rowOff>15240</xdr:rowOff>
    </xdr:from>
    <xdr:to>
      <xdr:col>7</xdr:col>
      <xdr:colOff>289560</xdr:colOff>
      <xdr:row>11</xdr:row>
      <xdr:rowOff>106680</xdr:rowOff>
    </xdr:to>
    <xdr:grpSp>
      <xdr:nvGrpSpPr>
        <xdr:cNvPr id="20" name="Group 19">
          <a:extLst>
            <a:ext uri="{FF2B5EF4-FFF2-40B4-BE49-F238E27FC236}">
              <a16:creationId xmlns:a16="http://schemas.microsoft.com/office/drawing/2014/main" id="{524538F6-5F65-286E-40BA-FEDCA4C186FF}"/>
            </a:ext>
          </a:extLst>
        </xdr:cNvPr>
        <xdr:cNvGrpSpPr/>
      </xdr:nvGrpSpPr>
      <xdr:grpSpPr>
        <a:xfrm>
          <a:off x="2545080" y="967740"/>
          <a:ext cx="2011680" cy="1234440"/>
          <a:chOff x="2234106" y="2775708"/>
          <a:chExt cx="2017854" cy="1200912"/>
        </a:xfrm>
        <a:effectLst>
          <a:outerShdw blurRad="190500" dist="63500" dir="8100000" algn="tr" rotWithShape="0">
            <a:prstClr val="black">
              <a:alpha val="80000"/>
            </a:prstClr>
          </a:outerShdw>
        </a:effectLst>
      </xdr:grpSpPr>
      <xdr:sp macro="" textlink="">
        <xdr:nvSpPr>
          <xdr:cNvPr id="24" name="Rectangle: Rounded Corners 23">
            <a:extLst>
              <a:ext uri="{FF2B5EF4-FFF2-40B4-BE49-F238E27FC236}">
                <a16:creationId xmlns:a16="http://schemas.microsoft.com/office/drawing/2014/main" id="{930E1C05-A177-16CA-B569-DA5BF30B6E2A}"/>
              </a:ext>
            </a:extLst>
          </xdr:cNvPr>
          <xdr:cNvSpPr/>
        </xdr:nvSpPr>
        <xdr:spPr>
          <a:xfrm>
            <a:off x="2234106" y="2775708"/>
            <a:ext cx="2017854" cy="1200912"/>
          </a:xfrm>
          <a:prstGeom prst="roundRect">
            <a:avLst>
              <a:gd name="adj" fmla="val 12606"/>
            </a:avLst>
          </a:prstGeom>
          <a:gradFill flip="none" rotWithShape="1">
            <a:gsLst>
              <a:gs pos="0">
                <a:srgbClr val="614AAB"/>
              </a:gs>
              <a:gs pos="100000">
                <a:srgbClr val="3636A6"/>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R6">
        <xdr:nvSpPr>
          <xdr:cNvPr id="25" name="Rectangle: Rounded Corners 24">
            <a:extLst>
              <a:ext uri="{FF2B5EF4-FFF2-40B4-BE49-F238E27FC236}">
                <a16:creationId xmlns:a16="http://schemas.microsoft.com/office/drawing/2014/main" id="{8156FE35-69CE-4D63-1B63-0D222AA0601B}"/>
              </a:ext>
            </a:extLst>
          </xdr:cNvPr>
          <xdr:cNvSpPr/>
        </xdr:nvSpPr>
        <xdr:spPr>
          <a:xfrm>
            <a:off x="2234106" y="2775708"/>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9D5B22AD-2689-4A19-8294-60DCF73D852F}" type="TxLink">
              <a:rPr lang="en-US" sz="4000" b="0" i="0" u="none" strike="noStrike">
                <a:solidFill>
                  <a:schemeClr val="bg1"/>
                </a:solidFill>
                <a:latin typeface="Aptos Narrow"/>
              </a:rPr>
              <a:pPr algn="l"/>
              <a:t> 3 611</a:t>
            </a:fld>
            <a:endParaRPr lang="ru-RU" sz="4000">
              <a:solidFill>
                <a:schemeClr val="bg1"/>
              </a:solidFill>
            </a:endParaRPr>
          </a:p>
        </xdr:txBody>
      </xdr:sp>
    </xdr:grpSp>
    <xdr:clientData/>
  </xdr:twoCellAnchor>
  <xdr:twoCellAnchor>
    <xdr:from>
      <xdr:col>4</xdr:col>
      <xdr:colOff>106680</xdr:colOff>
      <xdr:row>12</xdr:row>
      <xdr:rowOff>125982</xdr:rowOff>
    </xdr:from>
    <xdr:to>
      <xdr:col>7</xdr:col>
      <xdr:colOff>289560</xdr:colOff>
      <xdr:row>19</xdr:row>
      <xdr:rowOff>34542</xdr:rowOff>
    </xdr:to>
    <xdr:grpSp>
      <xdr:nvGrpSpPr>
        <xdr:cNvPr id="21" name="Group 20">
          <a:extLst>
            <a:ext uri="{FF2B5EF4-FFF2-40B4-BE49-F238E27FC236}">
              <a16:creationId xmlns:a16="http://schemas.microsoft.com/office/drawing/2014/main" id="{B2DFEE76-60E9-60F0-9620-C932D644D14A}"/>
            </a:ext>
          </a:extLst>
        </xdr:cNvPr>
        <xdr:cNvGrpSpPr/>
      </xdr:nvGrpSpPr>
      <xdr:grpSpPr>
        <a:xfrm>
          <a:off x="2545080" y="2411982"/>
          <a:ext cx="2011680" cy="1242060"/>
          <a:chOff x="2234106" y="2775708"/>
          <a:chExt cx="2017854" cy="1200912"/>
        </a:xfrm>
        <a:effectLst>
          <a:outerShdw blurRad="190500" dist="63500" dir="8100000" algn="tr" rotWithShape="0">
            <a:prstClr val="black">
              <a:alpha val="80000"/>
            </a:prstClr>
          </a:outerShdw>
        </a:effectLst>
      </xdr:grpSpPr>
      <xdr:sp macro="" textlink="">
        <xdr:nvSpPr>
          <xdr:cNvPr id="22" name="Rectangle: Rounded Corners 21">
            <a:extLst>
              <a:ext uri="{FF2B5EF4-FFF2-40B4-BE49-F238E27FC236}">
                <a16:creationId xmlns:a16="http://schemas.microsoft.com/office/drawing/2014/main" id="{DFA3D786-A594-A852-15CB-8E5845C6EF80}"/>
              </a:ext>
            </a:extLst>
          </xdr:cNvPr>
          <xdr:cNvSpPr/>
        </xdr:nvSpPr>
        <xdr:spPr>
          <a:xfrm>
            <a:off x="2234106" y="2775708"/>
            <a:ext cx="2017854" cy="1200912"/>
          </a:xfrm>
          <a:prstGeom prst="roundRect">
            <a:avLst>
              <a:gd name="adj" fmla="val 12606"/>
            </a:avLst>
          </a:prstGeom>
          <a:gradFill flip="none" rotWithShape="1">
            <a:gsLst>
              <a:gs pos="0">
                <a:srgbClr val="614AAB"/>
              </a:gs>
              <a:gs pos="100000">
                <a:srgbClr val="3636A6"/>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P8">
        <xdr:nvSpPr>
          <xdr:cNvPr id="23" name="Rectangle: Rounded Corners 22">
            <a:extLst>
              <a:ext uri="{FF2B5EF4-FFF2-40B4-BE49-F238E27FC236}">
                <a16:creationId xmlns:a16="http://schemas.microsoft.com/office/drawing/2014/main" id="{4154213D-358D-B4D0-3D84-267345083DCF}"/>
              </a:ext>
            </a:extLst>
          </xdr:cNvPr>
          <xdr:cNvSpPr/>
        </xdr:nvSpPr>
        <xdr:spPr>
          <a:xfrm>
            <a:off x="2234106" y="2775708"/>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3E13EB2-11AA-43BE-95B4-02D45B055080}" type="TxLink">
              <a:rPr lang="en-US" sz="4000" b="0" i="0" u="none" strike="noStrike">
                <a:solidFill>
                  <a:schemeClr val="bg1"/>
                </a:solidFill>
                <a:latin typeface="Aptos Narrow"/>
              </a:rPr>
              <a:pPr algn="l"/>
              <a:t> 8 422</a:t>
            </a:fld>
            <a:endParaRPr lang="ru-RU" sz="4000">
              <a:solidFill>
                <a:schemeClr val="bg1"/>
              </a:solidFill>
            </a:endParaRPr>
          </a:p>
        </xdr:txBody>
      </xdr:sp>
    </xdr:grpSp>
    <xdr:clientData/>
  </xdr:twoCellAnchor>
  <xdr:twoCellAnchor>
    <xdr:from>
      <xdr:col>16</xdr:col>
      <xdr:colOff>289559</xdr:colOff>
      <xdr:row>5</xdr:row>
      <xdr:rowOff>73343</xdr:rowOff>
    </xdr:from>
    <xdr:to>
      <xdr:col>19</xdr:col>
      <xdr:colOff>289559</xdr:colOff>
      <xdr:row>15</xdr:row>
      <xdr:rowOff>73343</xdr:rowOff>
    </xdr:to>
    <xdr:sp macro="" textlink="">
      <xdr:nvSpPr>
        <xdr:cNvPr id="32" name="Circle: Hollow 31">
          <a:extLst>
            <a:ext uri="{FF2B5EF4-FFF2-40B4-BE49-F238E27FC236}">
              <a16:creationId xmlns:a16="http://schemas.microsoft.com/office/drawing/2014/main" id="{F19DFEBB-7BB6-42A9-FF0B-A0B879160918}"/>
            </a:ext>
          </a:extLst>
        </xdr:cNvPr>
        <xdr:cNvSpPr/>
      </xdr:nvSpPr>
      <xdr:spPr>
        <a:xfrm>
          <a:off x="10043159" y="987743"/>
          <a:ext cx="1828800" cy="1828800"/>
        </a:xfrm>
        <a:prstGeom prst="donut">
          <a:avLst>
            <a:gd name="adj" fmla="val 20022"/>
          </a:avLst>
        </a:prstGeom>
        <a:solidFill>
          <a:srgbClr val="775A94"/>
        </a:solidFill>
        <a:ln>
          <a:noFill/>
        </a:ln>
        <a:effectLst>
          <a:innerShdw blurRad="254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15</xdr:col>
      <xdr:colOff>218883</xdr:colOff>
      <xdr:row>4</xdr:row>
      <xdr:rowOff>22860</xdr:rowOff>
    </xdr:from>
    <xdr:to>
      <xdr:col>20</xdr:col>
      <xdr:colOff>213549</xdr:colOff>
      <xdr:row>17</xdr:row>
      <xdr:rowOff>22860</xdr:rowOff>
    </xdr:to>
    <xdr:graphicFrame macro="">
      <xdr:nvGraphicFramePr>
        <xdr:cNvPr id="26" name="Chart 25">
          <a:extLst>
            <a:ext uri="{FF2B5EF4-FFF2-40B4-BE49-F238E27FC236}">
              <a16:creationId xmlns:a16="http://schemas.microsoft.com/office/drawing/2014/main" id="{C701266F-7FFE-4018-B189-E72E923AE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144780</xdr:colOff>
      <xdr:row>8</xdr:row>
      <xdr:rowOff>175260</xdr:rowOff>
    </xdr:from>
    <xdr:to>
      <xdr:col>18</xdr:col>
      <xdr:colOff>464820</xdr:colOff>
      <xdr:row>11</xdr:row>
      <xdr:rowOff>144780</xdr:rowOff>
    </xdr:to>
    <xdr:sp macro="" textlink="Processing!L1">
      <xdr:nvSpPr>
        <xdr:cNvPr id="33" name="TextBox 32">
          <a:extLst>
            <a:ext uri="{FF2B5EF4-FFF2-40B4-BE49-F238E27FC236}">
              <a16:creationId xmlns:a16="http://schemas.microsoft.com/office/drawing/2014/main" id="{FA2C8913-9935-B00F-6B2A-CAC578DEF2A1}"/>
            </a:ext>
          </a:extLst>
        </xdr:cNvPr>
        <xdr:cNvSpPr txBox="1"/>
      </xdr:nvSpPr>
      <xdr:spPr>
        <a:xfrm>
          <a:off x="10507980" y="1638300"/>
          <a:ext cx="9296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13EBC-4154-46D3-8C89-E3581B3DEC57}" type="TxLink">
            <a:rPr lang="en-US" sz="28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algn="ctr"/>
            <a:t>69%</a:t>
          </a:fld>
          <a:endParaRPr lang="ru-RU" sz="28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556260</xdr:colOff>
      <xdr:row>6</xdr:row>
      <xdr:rowOff>111668</xdr:rowOff>
    </xdr:from>
    <xdr:to>
      <xdr:col>15</xdr:col>
      <xdr:colOff>441960</xdr:colOff>
      <xdr:row>14</xdr:row>
      <xdr:rowOff>142148</xdr:rowOff>
    </xdr:to>
    <xdr:sp macro="" textlink="Processing!L3">
      <xdr:nvSpPr>
        <xdr:cNvPr id="34" name="TextBox 33">
          <a:extLst>
            <a:ext uri="{FF2B5EF4-FFF2-40B4-BE49-F238E27FC236}">
              <a16:creationId xmlns:a16="http://schemas.microsoft.com/office/drawing/2014/main" id="{E2EA5A98-6DF8-B329-7A98-BFBDA9143EB3}"/>
            </a:ext>
          </a:extLst>
        </xdr:cNvPr>
        <xdr:cNvSpPr txBox="1"/>
      </xdr:nvSpPr>
      <xdr:spPr>
        <a:xfrm>
          <a:off x="8481060" y="1208948"/>
          <a:ext cx="1104900" cy="149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192E12-50AD-4E0A-B2D0-AEA7EAFE272F}" type="TxLink">
            <a:rPr lang="en-US"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algn="l"/>
            <a:t>Referral
Social
Organic
Other</a:t>
          </a:fld>
          <a:endParaRPr lang="ru-RU" sz="40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15</xdr:col>
      <xdr:colOff>176554</xdr:colOff>
      <xdr:row>6</xdr:row>
      <xdr:rowOff>15994</xdr:rowOff>
    </xdr:from>
    <xdr:to>
      <xdr:col>16</xdr:col>
      <xdr:colOff>265406</xdr:colOff>
      <xdr:row>15</xdr:row>
      <xdr:rowOff>54942</xdr:rowOff>
    </xdr:to>
    <xdr:sp macro="" textlink="Processing!L4">
      <xdr:nvSpPr>
        <xdr:cNvPr id="35" name="TextBox 34">
          <a:extLst>
            <a:ext uri="{FF2B5EF4-FFF2-40B4-BE49-F238E27FC236}">
              <a16:creationId xmlns:a16="http://schemas.microsoft.com/office/drawing/2014/main" id="{DE368208-14A7-465B-FD32-A45189CFAA7C}"/>
            </a:ext>
          </a:extLst>
        </xdr:cNvPr>
        <xdr:cNvSpPr txBox="1"/>
      </xdr:nvSpPr>
      <xdr:spPr>
        <a:xfrm>
          <a:off x="9320554" y="1113274"/>
          <a:ext cx="698452" cy="168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4F74C0-A175-46A3-99F1-6AC9F525AB7E}" type="TxLink">
            <a:rPr lang="en-US"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marL="0" indent="0" algn="l"/>
            <a:t>13%
39%
17%
31%</a:t>
          </a:fld>
          <a:endParaRPr lang="ru-RU"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396240</xdr:colOff>
      <xdr:row>8</xdr:row>
      <xdr:rowOff>53340</xdr:rowOff>
    </xdr:from>
    <xdr:to>
      <xdr:col>13</xdr:col>
      <xdr:colOff>533400</xdr:colOff>
      <xdr:row>9</xdr:row>
      <xdr:rowOff>7620</xdr:rowOff>
    </xdr:to>
    <xdr:sp macro="" textlink="">
      <xdr:nvSpPr>
        <xdr:cNvPr id="36" name="Oval 35">
          <a:extLst>
            <a:ext uri="{FF2B5EF4-FFF2-40B4-BE49-F238E27FC236}">
              <a16:creationId xmlns:a16="http://schemas.microsoft.com/office/drawing/2014/main" id="{7E01DA8E-A2C9-1210-5C63-096486BF556F}"/>
            </a:ext>
          </a:extLst>
        </xdr:cNvPr>
        <xdr:cNvSpPr/>
      </xdr:nvSpPr>
      <xdr:spPr>
        <a:xfrm>
          <a:off x="8321040" y="1516380"/>
          <a:ext cx="137160" cy="137160"/>
        </a:xfrm>
        <a:prstGeom prst="ellipse">
          <a:avLst/>
        </a:prstGeom>
        <a:gradFill>
          <a:gsLst>
            <a:gs pos="0">
              <a:schemeClr val="accent5">
                <a:lumMod val="60000"/>
                <a:lumOff val="40000"/>
              </a:schemeClr>
            </a:gs>
            <a:gs pos="97000">
              <a:srgbClr val="A62C97"/>
            </a:gs>
          </a:gsLst>
          <a:lin ang="3000000" scaled="0"/>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9</xdr:row>
      <xdr:rowOff>119380</xdr:rowOff>
    </xdr:from>
    <xdr:to>
      <xdr:col>13</xdr:col>
      <xdr:colOff>533400</xdr:colOff>
      <xdr:row>10</xdr:row>
      <xdr:rowOff>73660</xdr:rowOff>
    </xdr:to>
    <xdr:sp macro="" textlink="">
      <xdr:nvSpPr>
        <xdr:cNvPr id="37" name="Oval 36">
          <a:extLst>
            <a:ext uri="{FF2B5EF4-FFF2-40B4-BE49-F238E27FC236}">
              <a16:creationId xmlns:a16="http://schemas.microsoft.com/office/drawing/2014/main" id="{C734D21B-358D-4FC9-9656-2D926DA0DF6E}"/>
            </a:ext>
          </a:extLst>
        </xdr:cNvPr>
        <xdr:cNvSpPr/>
      </xdr:nvSpPr>
      <xdr:spPr>
        <a:xfrm>
          <a:off x="8321040" y="1765300"/>
          <a:ext cx="137160" cy="137160"/>
        </a:xfrm>
        <a:prstGeom prst="ellipse">
          <a:avLst/>
        </a:prstGeom>
        <a:gradFill>
          <a:gsLst>
            <a:gs pos="100000">
              <a:srgbClr val="61A7F5"/>
            </a:gs>
            <a:gs pos="0">
              <a:srgbClr val="4077E3"/>
            </a:gs>
          </a:gsLst>
          <a:lin ang="5400000" scaled="1"/>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11</xdr:row>
      <xdr:rowOff>2540</xdr:rowOff>
    </xdr:from>
    <xdr:to>
      <xdr:col>13</xdr:col>
      <xdr:colOff>533400</xdr:colOff>
      <xdr:row>11</xdr:row>
      <xdr:rowOff>139700</xdr:rowOff>
    </xdr:to>
    <xdr:sp macro="" textlink="">
      <xdr:nvSpPr>
        <xdr:cNvPr id="38" name="Oval 37">
          <a:extLst>
            <a:ext uri="{FF2B5EF4-FFF2-40B4-BE49-F238E27FC236}">
              <a16:creationId xmlns:a16="http://schemas.microsoft.com/office/drawing/2014/main" id="{590968D2-9E31-A369-139A-19E233A452B5}"/>
            </a:ext>
          </a:extLst>
        </xdr:cNvPr>
        <xdr:cNvSpPr/>
      </xdr:nvSpPr>
      <xdr:spPr>
        <a:xfrm>
          <a:off x="8321040" y="2014220"/>
          <a:ext cx="137160" cy="137160"/>
        </a:xfrm>
        <a:prstGeom prst="ellipse">
          <a:avLst/>
        </a:prstGeom>
        <a:gradFill>
          <a:gsLst>
            <a:gs pos="0">
              <a:srgbClr val="8070E2"/>
            </a:gs>
            <a:gs pos="100000">
              <a:srgbClr val="5A4EBD"/>
            </a:gs>
          </a:gsLst>
          <a:lin ang="5400000" scaled="1"/>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12</xdr:row>
      <xdr:rowOff>68580</xdr:rowOff>
    </xdr:from>
    <xdr:to>
      <xdr:col>13</xdr:col>
      <xdr:colOff>533400</xdr:colOff>
      <xdr:row>13</xdr:row>
      <xdr:rowOff>22860</xdr:rowOff>
    </xdr:to>
    <xdr:sp macro="" textlink="">
      <xdr:nvSpPr>
        <xdr:cNvPr id="39" name="Oval 38">
          <a:extLst>
            <a:ext uri="{FF2B5EF4-FFF2-40B4-BE49-F238E27FC236}">
              <a16:creationId xmlns:a16="http://schemas.microsoft.com/office/drawing/2014/main" id="{F25FAB8B-AE31-7381-233D-BD2D013549E9}"/>
            </a:ext>
          </a:extLst>
        </xdr:cNvPr>
        <xdr:cNvSpPr/>
      </xdr:nvSpPr>
      <xdr:spPr>
        <a:xfrm>
          <a:off x="8321040" y="2263140"/>
          <a:ext cx="137160" cy="137160"/>
        </a:xfrm>
        <a:prstGeom prst="ellipse">
          <a:avLst/>
        </a:prstGeom>
        <a:solidFill>
          <a:srgbClr val="49375B"/>
        </a:soli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297180</xdr:colOff>
      <xdr:row>4</xdr:row>
      <xdr:rowOff>68580</xdr:rowOff>
    </xdr:from>
    <xdr:to>
      <xdr:col>16</xdr:col>
      <xdr:colOff>236220</xdr:colOff>
      <xdr:row>7</xdr:row>
      <xdr:rowOff>38100</xdr:rowOff>
    </xdr:to>
    <xdr:sp macro="" textlink="Processing!J1">
      <xdr:nvSpPr>
        <xdr:cNvPr id="41" name="TextBox 40">
          <a:extLst>
            <a:ext uri="{FF2B5EF4-FFF2-40B4-BE49-F238E27FC236}">
              <a16:creationId xmlns:a16="http://schemas.microsoft.com/office/drawing/2014/main" id="{A61732C4-B2A5-B1FC-2A41-87E81703184C}"/>
            </a:ext>
          </a:extLst>
        </xdr:cNvPr>
        <xdr:cNvSpPr txBox="1"/>
      </xdr:nvSpPr>
      <xdr:spPr>
        <a:xfrm>
          <a:off x="8221980" y="800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F317E-6BCC-41D4-9B03-B5200F498A24}"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algn="ctr"/>
            <a:t>Traffic Sources</a:t>
          </a:fld>
          <a:endParaRPr lang="ru-RU" sz="44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17</xdr:col>
      <xdr:colOff>11336</xdr:colOff>
      <xdr:row>22</xdr:row>
      <xdr:rowOff>162436</xdr:rowOff>
    </xdr:from>
    <xdr:to>
      <xdr:col>19</xdr:col>
      <xdr:colOff>350335</xdr:colOff>
      <xdr:row>31</xdr:row>
      <xdr:rowOff>76944</xdr:rowOff>
    </xdr:to>
    <xdr:grpSp>
      <xdr:nvGrpSpPr>
        <xdr:cNvPr id="48" name="Group 47">
          <a:extLst>
            <a:ext uri="{FF2B5EF4-FFF2-40B4-BE49-F238E27FC236}">
              <a16:creationId xmlns:a16="http://schemas.microsoft.com/office/drawing/2014/main" id="{A5627A4A-F779-4D1C-D150-18BE2EBE083F}"/>
            </a:ext>
          </a:extLst>
        </xdr:cNvPr>
        <xdr:cNvGrpSpPr/>
      </xdr:nvGrpSpPr>
      <xdr:grpSpPr>
        <a:xfrm>
          <a:off x="10374536" y="4353436"/>
          <a:ext cx="1558199" cy="1629008"/>
          <a:chOff x="10374536" y="4039901"/>
          <a:chExt cx="1558199" cy="1554481"/>
        </a:xfrm>
      </xdr:grpSpPr>
      <xdr:cxnSp macro="">
        <xdr:nvCxnSpPr>
          <xdr:cNvPr id="44" name="Straight Connector 43">
            <a:extLst>
              <a:ext uri="{FF2B5EF4-FFF2-40B4-BE49-F238E27FC236}">
                <a16:creationId xmlns:a16="http://schemas.microsoft.com/office/drawing/2014/main" id="{C7D864BE-1A05-E1CC-124A-243F88B8B3AF}"/>
              </a:ext>
            </a:extLst>
          </xdr:cNvPr>
          <xdr:cNvCxnSpPr/>
        </xdr:nvCxnSpPr>
        <xdr:spPr>
          <a:xfrm>
            <a:off x="11155494" y="4039901"/>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45" name="Straight Connector 44">
            <a:extLst>
              <a:ext uri="{FF2B5EF4-FFF2-40B4-BE49-F238E27FC236}">
                <a16:creationId xmlns:a16="http://schemas.microsoft.com/office/drawing/2014/main" id="{89EE3576-CBCE-D925-147A-F7926AF5BE56}"/>
              </a:ext>
            </a:extLst>
          </xdr:cNvPr>
          <xdr:cNvCxnSpPr/>
        </xdr:nvCxnSpPr>
        <xdr:spPr>
          <a:xfrm rot="16200000">
            <a:off x="11155495" y="4039901"/>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46" name="Straight Connector 45">
            <a:extLst>
              <a:ext uri="{FF2B5EF4-FFF2-40B4-BE49-F238E27FC236}">
                <a16:creationId xmlns:a16="http://schemas.microsoft.com/office/drawing/2014/main" id="{DDD47828-10B2-5238-C2DE-E33462AE0C93}"/>
              </a:ext>
            </a:extLst>
          </xdr:cNvPr>
          <xdr:cNvCxnSpPr/>
        </xdr:nvCxnSpPr>
        <xdr:spPr>
          <a:xfrm rot="2700000">
            <a:off x="11151776" y="4043620"/>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47" name="Straight Connector 46">
            <a:extLst>
              <a:ext uri="{FF2B5EF4-FFF2-40B4-BE49-F238E27FC236}">
                <a16:creationId xmlns:a16="http://schemas.microsoft.com/office/drawing/2014/main" id="{00AD5FA7-2303-6600-CAE4-49C11012C17E}"/>
              </a:ext>
            </a:extLst>
          </xdr:cNvPr>
          <xdr:cNvCxnSpPr/>
        </xdr:nvCxnSpPr>
        <xdr:spPr>
          <a:xfrm rot="18900000" flipH="1">
            <a:off x="11151774" y="4039902"/>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304622</xdr:colOff>
      <xdr:row>21</xdr:row>
      <xdr:rowOff>34275</xdr:rowOff>
    </xdr:from>
    <xdr:to>
      <xdr:col>20</xdr:col>
      <xdr:colOff>60782</xdr:colOff>
      <xdr:row>33</xdr:row>
      <xdr:rowOff>43196</xdr:rowOff>
    </xdr:to>
    <xdr:graphicFrame macro="">
      <xdr:nvGraphicFramePr>
        <xdr:cNvPr id="42" name="Chart 41">
          <a:extLst>
            <a:ext uri="{FF2B5EF4-FFF2-40B4-BE49-F238E27FC236}">
              <a16:creationId xmlns:a16="http://schemas.microsoft.com/office/drawing/2014/main" id="{84EC80B0-502E-46BA-8B2E-186B19EDD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18</xdr:row>
      <xdr:rowOff>152400</xdr:rowOff>
    </xdr:from>
    <xdr:to>
      <xdr:col>19</xdr:col>
      <xdr:colOff>434340</xdr:colOff>
      <xdr:row>21</xdr:row>
      <xdr:rowOff>121920</xdr:rowOff>
    </xdr:to>
    <xdr:sp macro="" textlink="Processing!L7">
      <xdr:nvSpPr>
        <xdr:cNvPr id="49" name="TextBox 48">
          <a:extLst>
            <a:ext uri="{FF2B5EF4-FFF2-40B4-BE49-F238E27FC236}">
              <a16:creationId xmlns:a16="http://schemas.microsoft.com/office/drawing/2014/main" id="{571243C3-18C9-667F-58B0-BB8A9EC4F4CF}"/>
            </a:ext>
          </a:extLst>
        </xdr:cNvPr>
        <xdr:cNvSpPr txBox="1"/>
      </xdr:nvSpPr>
      <xdr:spPr>
        <a:xfrm>
          <a:off x="102489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B84F59-3F6B-403C-BD49-0165DBED0218}"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ctr"/>
            <a:t>Coverage</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163612</xdr:colOff>
      <xdr:row>20</xdr:row>
      <xdr:rowOff>114299</xdr:rowOff>
    </xdr:from>
    <xdr:to>
      <xdr:col>16</xdr:col>
      <xdr:colOff>72172</xdr:colOff>
      <xdr:row>33</xdr:row>
      <xdr:rowOff>114299</xdr:rowOff>
    </xdr:to>
    <xdr:graphicFrame macro="">
      <xdr:nvGraphicFramePr>
        <xdr:cNvPr id="51" name="Chart 50">
          <a:extLst>
            <a:ext uri="{FF2B5EF4-FFF2-40B4-BE49-F238E27FC236}">
              <a16:creationId xmlns:a16="http://schemas.microsoft.com/office/drawing/2014/main" id="{D482076E-ED3F-475A-B001-D02BC2FD9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xdr:colOff>
      <xdr:row>24</xdr:row>
      <xdr:rowOff>30480</xdr:rowOff>
    </xdr:from>
    <xdr:to>
      <xdr:col>12</xdr:col>
      <xdr:colOff>274320</xdr:colOff>
      <xdr:row>33</xdr:row>
      <xdr:rowOff>121920</xdr:rowOff>
    </xdr:to>
    <xdr:graphicFrame macro="">
      <xdr:nvGraphicFramePr>
        <xdr:cNvPr id="52" name="Chart 51">
          <a:extLst>
            <a:ext uri="{FF2B5EF4-FFF2-40B4-BE49-F238E27FC236}">
              <a16:creationId xmlns:a16="http://schemas.microsoft.com/office/drawing/2014/main" id="{AE5C25FE-0331-4D17-9CD7-FFE4E9DCB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152400</xdr:colOff>
      <xdr:row>18</xdr:row>
      <xdr:rowOff>152400</xdr:rowOff>
    </xdr:from>
    <xdr:to>
      <xdr:col>16</xdr:col>
      <xdr:colOff>91440</xdr:colOff>
      <xdr:row>21</xdr:row>
      <xdr:rowOff>121920</xdr:rowOff>
    </xdr:to>
    <xdr:sp macro="" textlink="Processing!Q1">
      <xdr:nvSpPr>
        <xdr:cNvPr id="53" name="TextBox 52">
          <a:extLst>
            <a:ext uri="{FF2B5EF4-FFF2-40B4-BE49-F238E27FC236}">
              <a16:creationId xmlns:a16="http://schemas.microsoft.com/office/drawing/2014/main" id="{90E385DF-2C4F-08E0-6C1A-84028720C147}"/>
            </a:ext>
          </a:extLst>
        </xdr:cNvPr>
        <xdr:cNvSpPr txBox="1"/>
      </xdr:nvSpPr>
      <xdr:spPr>
        <a:xfrm>
          <a:off x="80772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ADF-BB5E-4C30-9F21-2092403B10E1}"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ctr"/>
            <a:t>Subscribers</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264322</xdr:colOff>
      <xdr:row>22</xdr:row>
      <xdr:rowOff>60960</xdr:rowOff>
    </xdr:from>
    <xdr:to>
      <xdr:col>12</xdr:col>
      <xdr:colOff>386242</xdr:colOff>
      <xdr:row>25</xdr:row>
      <xdr:rowOff>60960</xdr:rowOff>
    </xdr:to>
    <xdr:graphicFrame macro="">
      <xdr:nvGraphicFramePr>
        <xdr:cNvPr id="27" name="Chart 26">
          <a:extLst>
            <a:ext uri="{FF2B5EF4-FFF2-40B4-BE49-F238E27FC236}">
              <a16:creationId xmlns:a16="http://schemas.microsoft.com/office/drawing/2014/main" id="{3FF92500-6D7B-4892-AD5C-A0F31F3A7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161925</xdr:colOff>
          <xdr:row>22</xdr:row>
          <xdr:rowOff>123825</xdr:rowOff>
        </xdr:from>
        <xdr:to>
          <xdr:col>12</xdr:col>
          <xdr:colOff>304800</xdr:colOff>
          <xdr:row>24</xdr:row>
          <xdr:rowOff>133350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152400</xdr:colOff>
      <xdr:row>23</xdr:row>
      <xdr:rowOff>53340</xdr:rowOff>
    </xdr:from>
    <xdr:to>
      <xdr:col>11</xdr:col>
      <xdr:colOff>350520</xdr:colOff>
      <xdr:row>24</xdr:row>
      <xdr:rowOff>45720</xdr:rowOff>
    </xdr:to>
    <xdr:sp macro="" textlink="">
      <xdr:nvSpPr>
        <xdr:cNvPr id="28" name="Rectangle 27">
          <a:extLst>
            <a:ext uri="{FF2B5EF4-FFF2-40B4-BE49-F238E27FC236}">
              <a16:creationId xmlns:a16="http://schemas.microsoft.com/office/drawing/2014/main" id="{F34E9037-79A5-6BA1-3ABF-93E15A730941}"/>
            </a:ext>
          </a:extLst>
        </xdr:cNvPr>
        <xdr:cNvSpPr/>
      </xdr:nvSpPr>
      <xdr:spPr>
        <a:xfrm>
          <a:off x="6858000" y="4259580"/>
          <a:ext cx="198120" cy="175260"/>
        </a:xfrm>
        <a:prstGeom prst="rect">
          <a:avLst/>
        </a:prstGeom>
        <a:solidFill>
          <a:srgbClr val="4C4D8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6</xdr:col>
      <xdr:colOff>205740</xdr:colOff>
      <xdr:row>22</xdr:row>
      <xdr:rowOff>83820</xdr:rowOff>
    </xdr:from>
    <xdr:to>
      <xdr:col>10</xdr:col>
      <xdr:colOff>152400</xdr:colOff>
      <xdr:row>24</xdr:row>
      <xdr:rowOff>147828</xdr:rowOff>
    </xdr:to>
    <mc:AlternateContent xmlns:mc="http://schemas.openxmlformats.org/markup-compatibility/2006" xmlns:a14="http://schemas.microsoft.com/office/drawing/2010/main">
      <mc:Choice Requires="a14">
        <xdr:graphicFrame macro="">
          <xdr:nvGraphicFramePr>
            <xdr:cNvPr id="29" name="Indicators">
              <a:extLst>
                <a:ext uri="{FF2B5EF4-FFF2-40B4-BE49-F238E27FC236}">
                  <a16:creationId xmlns:a16="http://schemas.microsoft.com/office/drawing/2014/main" id="{20470A9C-9C89-4C1A-B060-1E13C0DEC2CB}"/>
                </a:ext>
              </a:extLst>
            </xdr:cNvPr>
            <xdr:cNvGraphicFramePr/>
          </xdr:nvGraphicFramePr>
          <xdr:xfrm>
            <a:off x="0" y="0"/>
            <a:ext cx="0" cy="0"/>
          </xdr:xfrm>
          <a:graphic>
            <a:graphicData uri="http://schemas.microsoft.com/office/drawing/2010/slicer">
              <sle:slicer xmlns:sle="http://schemas.microsoft.com/office/drawing/2010/slicer" name="Indicators"/>
            </a:graphicData>
          </a:graphic>
        </xdr:graphicFrame>
      </mc:Choice>
      <mc:Fallback xmlns="">
        <xdr:sp macro="" textlink="">
          <xdr:nvSpPr>
            <xdr:cNvPr id="0" name=""/>
            <xdr:cNvSpPr>
              <a:spLocks noTextEdit="1"/>
            </xdr:cNvSpPr>
          </xdr:nvSpPr>
          <xdr:spPr>
            <a:xfrm>
              <a:off x="3863340" y="4107180"/>
              <a:ext cx="238506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186472</xdr:colOff>
      <xdr:row>32</xdr:row>
      <xdr:rowOff>167640</xdr:rowOff>
    </xdr:from>
    <xdr:to>
      <xdr:col>16</xdr:col>
      <xdr:colOff>49312</xdr:colOff>
      <xdr:row>35</xdr:row>
      <xdr:rowOff>48768</xdr:rowOff>
    </xdr:to>
    <mc:AlternateContent xmlns:mc="http://schemas.openxmlformats.org/markup-compatibility/2006" xmlns:a14="http://schemas.microsoft.com/office/drawing/2010/main">
      <mc:Choice Requires="a14">
        <xdr:graphicFrame macro="">
          <xdr:nvGraphicFramePr>
            <xdr:cNvPr id="30" name="Year">
              <a:extLst>
                <a:ext uri="{FF2B5EF4-FFF2-40B4-BE49-F238E27FC236}">
                  <a16:creationId xmlns:a16="http://schemas.microsoft.com/office/drawing/2014/main" id="{0F65038D-4236-4C1E-8788-A40E9B1B8C6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111272" y="6019800"/>
              <a:ext cx="16916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358140</xdr:colOff>
      <xdr:row>32</xdr:row>
      <xdr:rowOff>167640</xdr:rowOff>
    </xdr:from>
    <xdr:to>
      <xdr:col>12</xdr:col>
      <xdr:colOff>236220</xdr:colOff>
      <xdr:row>35</xdr:row>
      <xdr:rowOff>48768</xdr:rowOff>
    </xdr:to>
    <mc:AlternateContent xmlns:mc="http://schemas.openxmlformats.org/markup-compatibility/2006" xmlns:a14="http://schemas.microsoft.com/office/drawing/2010/main">
      <mc:Choice Requires="a14">
        <xdr:graphicFrame macro="">
          <xdr:nvGraphicFramePr>
            <xdr:cNvPr id="31" name="Month">
              <a:extLst>
                <a:ext uri="{FF2B5EF4-FFF2-40B4-BE49-F238E27FC236}">
                  <a16:creationId xmlns:a16="http://schemas.microsoft.com/office/drawing/2014/main" id="{DA21DE24-8EC1-4737-865C-95D8790BCAE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796540" y="60198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8</xdr:row>
      <xdr:rowOff>99060</xdr:rowOff>
    </xdr:from>
    <xdr:to>
      <xdr:col>7</xdr:col>
      <xdr:colOff>220980</xdr:colOff>
      <xdr:row>11</xdr:row>
      <xdr:rowOff>68580</xdr:rowOff>
    </xdr:to>
    <xdr:sp macro="" textlink="Processing!Q1">
      <xdr:nvSpPr>
        <xdr:cNvPr id="43" name="TextBox 42">
          <a:extLst>
            <a:ext uri="{FF2B5EF4-FFF2-40B4-BE49-F238E27FC236}">
              <a16:creationId xmlns:a16="http://schemas.microsoft.com/office/drawing/2014/main" id="{12271257-50F3-B989-9FE6-8E7D257B2978}"/>
            </a:ext>
          </a:extLst>
        </xdr:cNvPr>
        <xdr:cNvSpPr txBox="1"/>
      </xdr:nvSpPr>
      <xdr:spPr>
        <a:xfrm>
          <a:off x="2720340" y="1562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ABADF-BB5E-4C30-9F21-2092403B10E1}"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Subscribers</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4</xdr:col>
      <xdr:colOff>281940</xdr:colOff>
      <xdr:row>16</xdr:row>
      <xdr:rowOff>0</xdr:rowOff>
    </xdr:from>
    <xdr:to>
      <xdr:col>7</xdr:col>
      <xdr:colOff>220980</xdr:colOff>
      <xdr:row>18</xdr:row>
      <xdr:rowOff>152400</xdr:rowOff>
    </xdr:to>
    <xdr:sp macro="" textlink="Processing!P7">
      <xdr:nvSpPr>
        <xdr:cNvPr id="50" name="TextBox 49">
          <a:extLst>
            <a:ext uri="{FF2B5EF4-FFF2-40B4-BE49-F238E27FC236}">
              <a16:creationId xmlns:a16="http://schemas.microsoft.com/office/drawing/2014/main" id="{C040DA1A-DBC7-B7D6-15D6-3665CEDC2B07}"/>
            </a:ext>
          </a:extLst>
        </xdr:cNvPr>
        <xdr:cNvSpPr txBox="1"/>
      </xdr:nvSpPr>
      <xdr:spPr>
        <a:xfrm>
          <a:off x="2720340" y="292608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78FA8BA-A5B1-4ACD-A22D-DDE0C5258012}"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Leads</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8</xdr:row>
      <xdr:rowOff>99060</xdr:rowOff>
    </xdr:from>
    <xdr:to>
      <xdr:col>10</xdr:col>
      <xdr:colOff>373380</xdr:colOff>
      <xdr:row>11</xdr:row>
      <xdr:rowOff>68580</xdr:rowOff>
    </xdr:to>
    <xdr:sp macro="" textlink="Processing!B2">
      <xdr:nvSpPr>
        <xdr:cNvPr id="54" name="TextBox 53">
          <a:extLst>
            <a:ext uri="{FF2B5EF4-FFF2-40B4-BE49-F238E27FC236}">
              <a16:creationId xmlns:a16="http://schemas.microsoft.com/office/drawing/2014/main" id="{084E4663-5916-0808-8997-9DC7206E8F2B}"/>
            </a:ext>
          </a:extLst>
        </xdr:cNvPr>
        <xdr:cNvSpPr txBox="1"/>
      </xdr:nvSpPr>
      <xdr:spPr>
        <a:xfrm>
          <a:off x="5372100" y="1562100"/>
          <a:ext cx="10972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Revenue</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79979</xdr:colOff>
      <xdr:row>15</xdr:row>
      <xdr:rowOff>56603</xdr:rowOff>
    </xdr:from>
    <xdr:to>
      <xdr:col>12</xdr:col>
      <xdr:colOff>201899</xdr:colOff>
      <xdr:row>19</xdr:row>
      <xdr:rowOff>56603</xdr:rowOff>
    </xdr:to>
    <xdr:graphicFrame macro="">
      <xdr:nvGraphicFramePr>
        <xdr:cNvPr id="55" name="Chart 54">
          <a:extLst>
            <a:ext uri="{FF2B5EF4-FFF2-40B4-BE49-F238E27FC236}">
              <a16:creationId xmlns:a16="http://schemas.microsoft.com/office/drawing/2014/main" id="{122207A3-0996-4E4B-8D0A-FBCA5C02B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79979</xdr:colOff>
      <xdr:row>7</xdr:row>
      <xdr:rowOff>163799</xdr:rowOff>
    </xdr:from>
    <xdr:to>
      <xdr:col>12</xdr:col>
      <xdr:colOff>201899</xdr:colOff>
      <xdr:row>11</xdr:row>
      <xdr:rowOff>163799</xdr:rowOff>
    </xdr:to>
    <xdr:graphicFrame macro="">
      <xdr:nvGraphicFramePr>
        <xdr:cNvPr id="57" name="Chart 56">
          <a:extLst>
            <a:ext uri="{FF2B5EF4-FFF2-40B4-BE49-F238E27FC236}">
              <a16:creationId xmlns:a16="http://schemas.microsoft.com/office/drawing/2014/main" id="{9F3AD8CE-18CE-4FD0-9B4D-B4B01E3A3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121920</xdr:colOff>
      <xdr:row>9</xdr:row>
      <xdr:rowOff>0</xdr:rowOff>
    </xdr:from>
    <xdr:to>
      <xdr:col>12</xdr:col>
      <xdr:colOff>160020</xdr:colOff>
      <xdr:row>10</xdr:row>
      <xdr:rowOff>144780</xdr:rowOff>
    </xdr:to>
    <xdr:sp macro="" textlink="Processing!Q12">
      <xdr:nvSpPr>
        <xdr:cNvPr id="59" name="TextBox 58">
          <a:extLst>
            <a:ext uri="{FF2B5EF4-FFF2-40B4-BE49-F238E27FC236}">
              <a16:creationId xmlns:a16="http://schemas.microsoft.com/office/drawing/2014/main" id="{AF434FB6-9EBA-DFBA-0464-50F2E72D1439}"/>
            </a:ext>
          </a:extLst>
        </xdr:cNvPr>
        <xdr:cNvSpPr txBox="1"/>
      </xdr:nvSpPr>
      <xdr:spPr>
        <a:xfrm>
          <a:off x="682752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CDAE6F-69B6-4866-BB6D-4252AC533E3A}"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92%</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16</xdr:row>
      <xdr:rowOff>0</xdr:rowOff>
    </xdr:from>
    <xdr:to>
      <xdr:col>10</xdr:col>
      <xdr:colOff>426720</xdr:colOff>
      <xdr:row>18</xdr:row>
      <xdr:rowOff>152400</xdr:rowOff>
    </xdr:to>
    <xdr:sp macro="" textlink="Processing!Q7">
      <xdr:nvSpPr>
        <xdr:cNvPr id="60" name="TextBox 59">
          <a:extLst>
            <a:ext uri="{FF2B5EF4-FFF2-40B4-BE49-F238E27FC236}">
              <a16:creationId xmlns:a16="http://schemas.microsoft.com/office/drawing/2014/main" id="{BD530E46-D131-B485-10D5-0577826C871E}"/>
            </a:ext>
          </a:extLst>
        </xdr:cNvPr>
        <xdr:cNvSpPr txBox="1"/>
      </xdr:nvSpPr>
      <xdr:spPr>
        <a:xfrm>
          <a:off x="5372100" y="2926080"/>
          <a:ext cx="115062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2F9DA5-25E8-458F-9736-BB7BF3B46237}"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Deals</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10</xdr:col>
      <xdr:colOff>228600</xdr:colOff>
      <xdr:row>9</xdr:row>
      <xdr:rowOff>0</xdr:rowOff>
    </xdr:from>
    <xdr:to>
      <xdr:col>11</xdr:col>
      <xdr:colOff>266700</xdr:colOff>
      <xdr:row>10</xdr:row>
      <xdr:rowOff>144780</xdr:rowOff>
    </xdr:to>
    <xdr:sp macro="" textlink="Processing!P12">
      <xdr:nvSpPr>
        <xdr:cNvPr id="61" name="TextBox 60">
          <a:extLst>
            <a:ext uri="{FF2B5EF4-FFF2-40B4-BE49-F238E27FC236}">
              <a16:creationId xmlns:a16="http://schemas.microsoft.com/office/drawing/2014/main" id="{BA490235-2B8A-52EF-CB7B-B95D25271585}"/>
            </a:ext>
          </a:extLst>
        </xdr:cNvPr>
        <xdr:cNvSpPr txBox="1"/>
      </xdr:nvSpPr>
      <xdr:spPr>
        <a:xfrm>
          <a:off x="632460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543358-55A4-48F1-B6CD-225A712D7FB0}"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Target</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121920</xdr:colOff>
      <xdr:row>16</xdr:row>
      <xdr:rowOff>76200</xdr:rowOff>
    </xdr:from>
    <xdr:to>
      <xdr:col>12</xdr:col>
      <xdr:colOff>160020</xdr:colOff>
      <xdr:row>18</xdr:row>
      <xdr:rowOff>38100</xdr:rowOff>
    </xdr:to>
    <xdr:sp macro="" textlink="Processing!P10">
      <xdr:nvSpPr>
        <xdr:cNvPr id="62" name="TextBox 61">
          <a:extLst>
            <a:ext uri="{FF2B5EF4-FFF2-40B4-BE49-F238E27FC236}">
              <a16:creationId xmlns:a16="http://schemas.microsoft.com/office/drawing/2014/main" id="{05CF8B05-0B35-211B-39B6-A9EA248E6B5A}"/>
            </a:ext>
          </a:extLst>
        </xdr:cNvPr>
        <xdr:cNvSpPr txBox="1"/>
      </xdr:nvSpPr>
      <xdr:spPr>
        <a:xfrm>
          <a:off x="6827520" y="300228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FF522C-B621-48A1-A58A-5452AB094385}"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60%</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9</xdr:col>
      <xdr:colOff>586740</xdr:colOff>
      <xdr:row>16</xdr:row>
      <xdr:rowOff>76200</xdr:rowOff>
    </xdr:from>
    <xdr:to>
      <xdr:col>11</xdr:col>
      <xdr:colOff>220980</xdr:colOff>
      <xdr:row>18</xdr:row>
      <xdr:rowOff>38100</xdr:rowOff>
    </xdr:to>
    <xdr:sp macro="" textlink="Processing!P9">
      <xdr:nvSpPr>
        <xdr:cNvPr id="63" name="TextBox 62">
          <a:extLst>
            <a:ext uri="{FF2B5EF4-FFF2-40B4-BE49-F238E27FC236}">
              <a16:creationId xmlns:a16="http://schemas.microsoft.com/office/drawing/2014/main" id="{EE5E06F7-197E-3FBF-BE43-B790FCD0323D}"/>
            </a:ext>
          </a:extLst>
        </xdr:cNvPr>
        <xdr:cNvSpPr txBox="1"/>
      </xdr:nvSpPr>
      <xdr:spPr>
        <a:xfrm>
          <a:off x="6073140" y="3002280"/>
          <a:ext cx="8534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DE86B6-215B-441C-A2E1-7281977D6B10}"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Conversion</a:t>
          </a:fld>
          <a:endParaRPr lang="ru-RU" sz="1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3</xdr:col>
      <xdr:colOff>487680</xdr:colOff>
      <xdr:row>24</xdr:row>
      <xdr:rowOff>144780</xdr:rowOff>
    </xdr:from>
    <xdr:to>
      <xdr:col>12</xdr:col>
      <xdr:colOff>480060</xdr:colOff>
      <xdr:row>32</xdr:row>
      <xdr:rowOff>114300</xdr:rowOff>
    </xdr:to>
    <xdr:sp macro="" textlink="">
      <xdr:nvSpPr>
        <xdr:cNvPr id="40" name="Rectangle: Rounded Corners 39">
          <a:hlinkClick xmlns:r="http://schemas.openxmlformats.org/officeDocument/2006/relationships" r:id="rId8"/>
          <a:extLst>
            <a:ext uri="{FF2B5EF4-FFF2-40B4-BE49-F238E27FC236}">
              <a16:creationId xmlns:a16="http://schemas.microsoft.com/office/drawing/2014/main" id="{EB97E07A-1994-CC4C-3A43-135C27AC060D}"/>
            </a:ext>
          </a:extLst>
        </xdr:cNvPr>
        <xdr:cNvSpPr/>
      </xdr:nvSpPr>
      <xdr:spPr>
        <a:xfrm>
          <a:off x="2316480" y="4533900"/>
          <a:ext cx="5478780" cy="14325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114300</xdr:colOff>
      <xdr:row>4</xdr:row>
      <xdr:rowOff>0</xdr:rowOff>
    </xdr:from>
    <xdr:to>
      <xdr:col>20</xdr:col>
      <xdr:colOff>0</xdr:colOff>
      <xdr:row>17</xdr:row>
      <xdr:rowOff>83820</xdr:rowOff>
    </xdr:to>
    <xdr:sp macro="" textlink="">
      <xdr:nvSpPr>
        <xdr:cNvPr id="56" name="Rectangle: Rounded Corners 55">
          <a:hlinkClick xmlns:r="http://schemas.openxmlformats.org/officeDocument/2006/relationships" r:id="rId9"/>
          <a:extLst>
            <a:ext uri="{FF2B5EF4-FFF2-40B4-BE49-F238E27FC236}">
              <a16:creationId xmlns:a16="http://schemas.microsoft.com/office/drawing/2014/main" id="{8D4A26E6-10BE-8E8D-F482-E64411F796C5}"/>
            </a:ext>
          </a:extLst>
        </xdr:cNvPr>
        <xdr:cNvSpPr/>
      </xdr:nvSpPr>
      <xdr:spPr>
        <a:xfrm>
          <a:off x="8039100" y="731520"/>
          <a:ext cx="4152900" cy="2461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99060</xdr:colOff>
      <xdr:row>18</xdr:row>
      <xdr:rowOff>99060</xdr:rowOff>
    </xdr:from>
    <xdr:to>
      <xdr:col>16</xdr:col>
      <xdr:colOff>121920</xdr:colOff>
      <xdr:row>32</xdr:row>
      <xdr:rowOff>99060</xdr:rowOff>
    </xdr:to>
    <xdr:sp macro="" textlink="">
      <xdr:nvSpPr>
        <xdr:cNvPr id="58" name="Rectangle: Rounded Corners 57">
          <a:hlinkClick xmlns:r="http://schemas.openxmlformats.org/officeDocument/2006/relationships" r:id="rId10"/>
          <a:extLst>
            <a:ext uri="{FF2B5EF4-FFF2-40B4-BE49-F238E27FC236}">
              <a16:creationId xmlns:a16="http://schemas.microsoft.com/office/drawing/2014/main" id="{0B4662BC-86CA-7FBD-6E7A-A880C780B24D}"/>
            </a:ext>
          </a:extLst>
        </xdr:cNvPr>
        <xdr:cNvSpPr/>
      </xdr:nvSpPr>
      <xdr:spPr>
        <a:xfrm>
          <a:off x="8023860" y="3390900"/>
          <a:ext cx="1851660" cy="25603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335280</xdr:colOff>
      <xdr:row>18</xdr:row>
      <xdr:rowOff>99060</xdr:rowOff>
    </xdr:from>
    <xdr:to>
      <xdr:col>20</xdr:col>
      <xdr:colOff>15240</xdr:colOff>
      <xdr:row>35</xdr:row>
      <xdr:rowOff>129540</xdr:rowOff>
    </xdr:to>
    <xdr:sp macro="" textlink="">
      <xdr:nvSpPr>
        <xdr:cNvPr id="1024" name="Rectangle: Rounded Corners 1023">
          <a:hlinkClick xmlns:r="http://schemas.openxmlformats.org/officeDocument/2006/relationships" r:id="rId11"/>
          <a:extLst>
            <a:ext uri="{FF2B5EF4-FFF2-40B4-BE49-F238E27FC236}">
              <a16:creationId xmlns:a16="http://schemas.microsoft.com/office/drawing/2014/main" id="{F4ADBB9D-95CD-D4E5-3F8F-F613AFA74337}"/>
            </a:ext>
          </a:extLst>
        </xdr:cNvPr>
        <xdr:cNvSpPr/>
      </xdr:nvSpPr>
      <xdr:spPr>
        <a:xfrm>
          <a:off x="10088880" y="3390900"/>
          <a:ext cx="2118360" cy="313944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304800</xdr:colOff>
      <xdr:row>5</xdr:row>
      <xdr:rowOff>7620</xdr:rowOff>
    </xdr:from>
    <xdr:to>
      <xdr:col>12</xdr:col>
      <xdr:colOff>251460</xdr:colOff>
      <xdr:row>11</xdr:row>
      <xdr:rowOff>99060</xdr:rowOff>
    </xdr:to>
    <xdr:sp macro="" textlink="">
      <xdr:nvSpPr>
        <xdr:cNvPr id="1026" name="Rectangle: Rounded Corners 1025">
          <a:hlinkClick xmlns:r="http://schemas.openxmlformats.org/officeDocument/2006/relationships" r:id="rId8"/>
          <a:extLst>
            <a:ext uri="{FF2B5EF4-FFF2-40B4-BE49-F238E27FC236}">
              <a16:creationId xmlns:a16="http://schemas.microsoft.com/office/drawing/2014/main" id="{C84EB114-E380-ACEE-AB78-329B5E822A32}"/>
            </a:ext>
          </a:extLst>
        </xdr:cNvPr>
        <xdr:cNvSpPr/>
      </xdr:nvSpPr>
      <xdr:spPr>
        <a:xfrm>
          <a:off x="5181600" y="922020"/>
          <a:ext cx="2385060" cy="1188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158639</xdr:colOff>
      <xdr:row>4</xdr:row>
      <xdr:rowOff>71505</xdr:rowOff>
    </xdr:from>
    <xdr:to>
      <xdr:col>0</xdr:col>
      <xdr:colOff>432959</xdr:colOff>
      <xdr:row>5</xdr:row>
      <xdr:rowOff>143053</xdr:rowOff>
    </xdr:to>
    <xdr:grpSp>
      <xdr:nvGrpSpPr>
        <xdr:cNvPr id="1135" name="Group 1134">
          <a:hlinkClick xmlns:r="http://schemas.openxmlformats.org/officeDocument/2006/relationships" r:id="rId12"/>
          <a:extLst>
            <a:ext uri="{FF2B5EF4-FFF2-40B4-BE49-F238E27FC236}">
              <a16:creationId xmlns:a16="http://schemas.microsoft.com/office/drawing/2014/main" id="{11FE068B-5127-72ED-ECC2-464781DF0295}"/>
            </a:ext>
          </a:extLst>
        </xdr:cNvPr>
        <xdr:cNvGrpSpPr/>
      </xdr:nvGrpSpPr>
      <xdr:grpSpPr>
        <a:xfrm>
          <a:off x="158639" y="833505"/>
          <a:ext cx="274320" cy="262048"/>
          <a:chOff x="2657199" y="8924774"/>
          <a:chExt cx="796566" cy="720791"/>
        </a:xfrm>
      </xdr:grpSpPr>
      <xdr:sp macro="" textlink="">
        <xdr:nvSpPr>
          <xdr:cNvPr id="1139" name="Freeform: Shape 1138">
            <a:extLst>
              <a:ext uri="{FF2B5EF4-FFF2-40B4-BE49-F238E27FC236}">
                <a16:creationId xmlns:a16="http://schemas.microsoft.com/office/drawing/2014/main" id="{690328BE-73F9-EE22-5D96-AB3CD4B30C99}"/>
              </a:ext>
            </a:extLst>
          </xdr:cNvPr>
          <xdr:cNvSpPr/>
        </xdr:nvSpPr>
        <xdr:spPr>
          <a:xfrm>
            <a:off x="3139440" y="8924774"/>
            <a:ext cx="38100" cy="115904"/>
          </a:xfrm>
          <a:custGeom>
            <a:avLst/>
            <a:gdLst>
              <a:gd name="connsiteX0" fmla="*/ 0 w 38100"/>
              <a:gd name="connsiteY0" fmla="*/ 0 h 114300"/>
              <a:gd name="connsiteX1" fmla="*/ 38100 w 38100"/>
              <a:gd name="connsiteY1" fmla="*/ 0 h 114300"/>
              <a:gd name="connsiteX2" fmla="*/ 38100 w 38100"/>
              <a:gd name="connsiteY2" fmla="*/ 114300 h 114300"/>
              <a:gd name="connsiteX3" fmla="*/ 0 w 38100"/>
              <a:gd name="connsiteY3" fmla="*/ 114300 h 114300"/>
            </a:gdLst>
            <a:ahLst/>
            <a:cxnLst>
              <a:cxn ang="0">
                <a:pos x="connsiteX0" y="connsiteY0"/>
              </a:cxn>
              <a:cxn ang="0">
                <a:pos x="connsiteX1" y="connsiteY1"/>
              </a:cxn>
              <a:cxn ang="0">
                <a:pos x="connsiteX2" y="connsiteY2"/>
              </a:cxn>
              <a:cxn ang="0">
                <a:pos x="connsiteX3" y="connsiteY3"/>
              </a:cxn>
            </a:cxnLst>
            <a:rect l="l" t="t" r="r" b="b"/>
            <a:pathLst>
              <a:path w="38100" h="114300">
                <a:moveTo>
                  <a:pt x="0" y="0"/>
                </a:moveTo>
                <a:lnTo>
                  <a:pt x="38100" y="0"/>
                </a:lnTo>
                <a:lnTo>
                  <a:pt x="38100" y="114300"/>
                </a:lnTo>
                <a:lnTo>
                  <a:pt x="0" y="114300"/>
                </a:lnTo>
                <a:close/>
              </a:path>
            </a:pathLst>
          </a:custGeom>
          <a:solidFill>
            <a:srgbClr val="E993EB"/>
          </a:solidFill>
          <a:ln w="9525" cap="flat">
            <a:noFill/>
            <a:prstDash val="solid"/>
            <a:miter/>
          </a:ln>
        </xdr:spPr>
        <xdr:txBody>
          <a:bodyPr rtlCol="0" anchor="ctr"/>
          <a:lstStyle/>
          <a:p>
            <a:endParaRPr lang="ru-RU"/>
          </a:p>
        </xdr:txBody>
      </xdr:sp>
      <xdr:sp macro="" textlink="">
        <xdr:nvSpPr>
          <xdr:cNvPr id="1140" name="Freeform: Shape 1139">
            <a:extLst>
              <a:ext uri="{FF2B5EF4-FFF2-40B4-BE49-F238E27FC236}">
                <a16:creationId xmlns:a16="http://schemas.microsoft.com/office/drawing/2014/main" id="{4177989E-D8F6-9405-2EEE-D3DFAABDE093}"/>
              </a:ext>
            </a:extLst>
          </xdr:cNvPr>
          <xdr:cNvSpPr/>
        </xdr:nvSpPr>
        <xdr:spPr>
          <a:xfrm rot="8100000">
            <a:off x="3270350" y="9032599"/>
            <a:ext cx="114298" cy="39703"/>
          </a:xfrm>
          <a:custGeom>
            <a:avLst/>
            <a:gdLst>
              <a:gd name="connsiteX0" fmla="*/ 0 w 114298"/>
              <a:gd name="connsiteY0" fmla="*/ 0 h 38099"/>
              <a:gd name="connsiteX1" fmla="*/ 114299 w 114298"/>
              <a:gd name="connsiteY1" fmla="*/ 0 h 38099"/>
              <a:gd name="connsiteX2" fmla="*/ 114299 w 114298"/>
              <a:gd name="connsiteY2" fmla="*/ 38100 h 38099"/>
              <a:gd name="connsiteX3" fmla="*/ 0 w 114298"/>
              <a:gd name="connsiteY3" fmla="*/ 38100 h 38099"/>
            </a:gdLst>
            <a:ahLst/>
            <a:cxnLst>
              <a:cxn ang="0">
                <a:pos x="connsiteX0" y="connsiteY0"/>
              </a:cxn>
              <a:cxn ang="0">
                <a:pos x="connsiteX1" y="connsiteY1"/>
              </a:cxn>
              <a:cxn ang="0">
                <a:pos x="connsiteX2" y="connsiteY2"/>
              </a:cxn>
              <a:cxn ang="0">
                <a:pos x="connsiteX3" y="connsiteY3"/>
              </a:cxn>
            </a:cxnLst>
            <a:rect l="l" t="t" r="r" b="b"/>
            <a:pathLst>
              <a:path w="114298" h="38099">
                <a:moveTo>
                  <a:pt x="0" y="0"/>
                </a:moveTo>
                <a:lnTo>
                  <a:pt x="114299" y="0"/>
                </a:lnTo>
                <a:lnTo>
                  <a:pt x="114299"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1141" name="Freeform: Shape 1140">
            <a:extLst>
              <a:ext uri="{FF2B5EF4-FFF2-40B4-BE49-F238E27FC236}">
                <a16:creationId xmlns:a16="http://schemas.microsoft.com/office/drawing/2014/main" id="{C94252F3-C375-960A-2B8F-5A4602FA96ED}"/>
              </a:ext>
            </a:extLst>
          </xdr:cNvPr>
          <xdr:cNvSpPr/>
        </xdr:nvSpPr>
        <xdr:spPr>
          <a:xfrm>
            <a:off x="3339465" y="9202603"/>
            <a:ext cx="114300" cy="39705"/>
          </a:xfrm>
          <a:custGeom>
            <a:avLst/>
            <a:gdLst>
              <a:gd name="connsiteX0" fmla="*/ 0 w 114300"/>
              <a:gd name="connsiteY0" fmla="*/ 0 h 38100"/>
              <a:gd name="connsiteX1" fmla="*/ 114300 w 114300"/>
              <a:gd name="connsiteY1" fmla="*/ 0 h 38100"/>
              <a:gd name="connsiteX2" fmla="*/ 114300 w 114300"/>
              <a:gd name="connsiteY2" fmla="*/ 38100 h 38100"/>
              <a:gd name="connsiteX3" fmla="*/ 0 w 114300"/>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300"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1142" name="Freeform: Shape 1141">
            <a:extLst>
              <a:ext uri="{FF2B5EF4-FFF2-40B4-BE49-F238E27FC236}">
                <a16:creationId xmlns:a16="http://schemas.microsoft.com/office/drawing/2014/main" id="{567FBD30-DA79-BE00-B15B-59C634722E52}"/>
              </a:ext>
            </a:extLst>
          </xdr:cNvPr>
          <xdr:cNvSpPr/>
        </xdr:nvSpPr>
        <xdr:spPr>
          <a:xfrm rot="8100000">
            <a:off x="3308256" y="9334274"/>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1143" name="Freeform: Shape 1142">
            <a:extLst>
              <a:ext uri="{FF2B5EF4-FFF2-40B4-BE49-F238E27FC236}">
                <a16:creationId xmlns:a16="http://schemas.microsoft.com/office/drawing/2014/main" id="{D2D7294C-E93B-68E4-3FDA-88D53D27B876}"/>
              </a:ext>
            </a:extLst>
          </xdr:cNvPr>
          <xdr:cNvSpPr/>
        </xdr:nvSpPr>
        <xdr:spPr>
          <a:xfrm>
            <a:off x="2863215" y="9202603"/>
            <a:ext cx="114299" cy="39705"/>
          </a:xfrm>
          <a:custGeom>
            <a:avLst/>
            <a:gdLst>
              <a:gd name="connsiteX0" fmla="*/ 0 w 114299"/>
              <a:gd name="connsiteY0" fmla="*/ 0 h 38100"/>
              <a:gd name="connsiteX1" fmla="*/ 114300 w 114299"/>
              <a:gd name="connsiteY1" fmla="*/ 0 h 38100"/>
              <a:gd name="connsiteX2" fmla="*/ 114300 w 114299"/>
              <a:gd name="connsiteY2" fmla="*/ 38100 h 38100"/>
              <a:gd name="connsiteX3" fmla="*/ 0 w 114299"/>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299"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1144" name="Freeform: Shape 1143">
            <a:extLst>
              <a:ext uri="{FF2B5EF4-FFF2-40B4-BE49-F238E27FC236}">
                <a16:creationId xmlns:a16="http://schemas.microsoft.com/office/drawing/2014/main" id="{12544EA6-2466-2AF7-D0C3-801D6E3DC08B}"/>
              </a:ext>
            </a:extLst>
          </xdr:cNvPr>
          <xdr:cNvSpPr/>
        </xdr:nvSpPr>
        <xdr:spPr>
          <a:xfrm rot="8100000">
            <a:off x="2971204" y="8994981"/>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1145" name="Freeform: Shape 1144">
            <a:extLst>
              <a:ext uri="{FF2B5EF4-FFF2-40B4-BE49-F238E27FC236}">
                <a16:creationId xmlns:a16="http://schemas.microsoft.com/office/drawing/2014/main" id="{8D7369AD-F6FB-DB7C-40B8-8FA435B3A1CF}"/>
              </a:ext>
            </a:extLst>
          </xdr:cNvPr>
          <xdr:cNvSpPr/>
        </xdr:nvSpPr>
        <xdr:spPr>
          <a:xfrm>
            <a:off x="2657199" y="9280147"/>
            <a:ext cx="651850" cy="365418"/>
          </a:xfrm>
          <a:custGeom>
            <a:avLst/>
            <a:gdLst>
              <a:gd name="connsiteX0" fmla="*/ 558440 w 651850"/>
              <a:gd name="connsiteY0" fmla="*/ 181236 h 362210"/>
              <a:gd name="connsiteX1" fmla="*/ 544153 w 651850"/>
              <a:gd name="connsiteY1" fmla="*/ 182188 h 362210"/>
              <a:gd name="connsiteX2" fmla="*/ 544153 w 651850"/>
              <a:gd name="connsiteY2" fmla="*/ 181236 h 362210"/>
              <a:gd name="connsiteX3" fmla="*/ 496528 w 651850"/>
              <a:gd name="connsiteY3" fmla="*/ 88843 h 362210"/>
              <a:gd name="connsiteX4" fmla="*/ 393658 w 651850"/>
              <a:gd name="connsiteY4" fmla="*/ 72651 h 362210"/>
              <a:gd name="connsiteX5" fmla="*/ 239353 w 651850"/>
              <a:gd name="connsiteY5" fmla="*/ 4071 h 362210"/>
              <a:gd name="connsiteX6" fmla="*/ 133625 w 651850"/>
              <a:gd name="connsiteY6" fmla="*/ 135516 h 362210"/>
              <a:gd name="connsiteX7" fmla="*/ 24088 w 651850"/>
              <a:gd name="connsiteY7" fmla="*/ 176473 h 362210"/>
              <a:gd name="connsiteX8" fmla="*/ 9800 w 651850"/>
              <a:gd name="connsiteY8" fmla="*/ 293631 h 362210"/>
              <a:gd name="connsiteX9" fmla="*/ 106955 w 651850"/>
              <a:gd name="connsiteY9" fmla="*/ 361258 h 362210"/>
              <a:gd name="connsiteX10" fmla="*/ 564155 w 651850"/>
              <a:gd name="connsiteY10" fmla="*/ 362211 h 362210"/>
              <a:gd name="connsiteX11" fmla="*/ 651785 w 651850"/>
              <a:gd name="connsiteY11" fmla="*/ 268866 h 362210"/>
              <a:gd name="connsiteX12" fmla="*/ 558440 w 651850"/>
              <a:gd name="connsiteY12" fmla="*/ 181236 h 362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51850" h="362210">
                <a:moveTo>
                  <a:pt x="558440" y="181236"/>
                </a:moveTo>
                <a:cubicBezTo>
                  <a:pt x="553678" y="181236"/>
                  <a:pt x="548915" y="181236"/>
                  <a:pt x="544153" y="182188"/>
                </a:cubicBezTo>
                <a:cubicBezTo>
                  <a:pt x="544153" y="182188"/>
                  <a:pt x="544153" y="181236"/>
                  <a:pt x="544153" y="181236"/>
                </a:cubicBezTo>
                <a:cubicBezTo>
                  <a:pt x="544153" y="145041"/>
                  <a:pt x="527008" y="109798"/>
                  <a:pt x="496528" y="88843"/>
                </a:cubicBezTo>
                <a:cubicBezTo>
                  <a:pt x="467000" y="66936"/>
                  <a:pt x="428900" y="61221"/>
                  <a:pt x="393658" y="72651"/>
                </a:cubicBezTo>
                <a:cubicBezTo>
                  <a:pt x="364130" y="17406"/>
                  <a:pt x="300313" y="-11169"/>
                  <a:pt x="239353" y="4071"/>
                </a:cubicBezTo>
                <a:cubicBezTo>
                  <a:pt x="178393" y="18358"/>
                  <a:pt x="135530" y="72651"/>
                  <a:pt x="133625" y="135516"/>
                </a:cubicBezTo>
                <a:cubicBezTo>
                  <a:pt x="93620" y="127896"/>
                  <a:pt x="50758" y="143136"/>
                  <a:pt x="24088" y="176473"/>
                </a:cubicBezTo>
                <a:cubicBezTo>
                  <a:pt x="-1630" y="209811"/>
                  <a:pt x="-7345" y="255531"/>
                  <a:pt x="9800" y="293631"/>
                </a:cubicBezTo>
                <a:cubicBezTo>
                  <a:pt x="26945" y="332683"/>
                  <a:pt x="64093" y="358401"/>
                  <a:pt x="106955" y="361258"/>
                </a:cubicBezTo>
                <a:lnTo>
                  <a:pt x="564155" y="362211"/>
                </a:lnTo>
                <a:cubicBezTo>
                  <a:pt x="613685" y="361258"/>
                  <a:pt x="653690" y="319348"/>
                  <a:pt x="651785" y="268866"/>
                </a:cubicBezTo>
                <a:cubicBezTo>
                  <a:pt x="650833" y="219336"/>
                  <a:pt x="608923" y="180283"/>
                  <a:pt x="558440" y="181236"/>
                </a:cubicBezTo>
                <a:close/>
              </a:path>
            </a:pathLst>
          </a:custGeom>
          <a:solidFill>
            <a:schemeClr val="bg1">
              <a:lumMod val="95000"/>
            </a:schemeClr>
          </a:solidFill>
          <a:ln w="9525" cap="flat">
            <a:noFill/>
            <a:prstDash val="solid"/>
            <a:miter/>
          </a:ln>
        </xdr:spPr>
        <xdr:txBody>
          <a:bodyPr rtlCol="0" anchor="ctr"/>
          <a:lstStyle/>
          <a:p>
            <a:endParaRPr lang="ru-RU"/>
          </a:p>
        </xdr:txBody>
      </xdr:sp>
      <xdr:sp macro="" textlink="">
        <xdr:nvSpPr>
          <xdr:cNvPr id="1146" name="Freeform: Shape 1145">
            <a:extLst>
              <a:ext uri="{FF2B5EF4-FFF2-40B4-BE49-F238E27FC236}">
                <a16:creationId xmlns:a16="http://schemas.microsoft.com/office/drawing/2014/main" id="{531B8BDC-2514-C0FE-4356-C85318E2A557}"/>
              </a:ext>
            </a:extLst>
          </xdr:cNvPr>
          <xdr:cNvSpPr/>
        </xdr:nvSpPr>
        <xdr:spPr>
          <a:xfrm>
            <a:off x="3015943" y="9078229"/>
            <a:ext cx="284955" cy="281236"/>
          </a:xfrm>
          <a:custGeom>
            <a:avLst/>
            <a:gdLst>
              <a:gd name="connsiteX0" fmla="*/ 7291 w 284955"/>
              <a:gd name="connsiteY0" fmla="*/ 189144 h 279631"/>
              <a:gd name="connsiteX1" fmla="*/ 53011 w 284955"/>
              <a:gd name="connsiteY1" fmla="*/ 230102 h 279631"/>
              <a:gd name="connsiteX2" fmla="*/ 184456 w 284955"/>
              <a:gd name="connsiteY2" fmla="*/ 279632 h 279631"/>
              <a:gd name="connsiteX3" fmla="*/ 284469 w 284955"/>
              <a:gd name="connsiteY3" fmla="*/ 155807 h 279631"/>
              <a:gd name="connsiteX4" fmla="*/ 207316 w 284955"/>
              <a:gd name="connsiteY4" fmla="*/ 15789 h 279631"/>
              <a:gd name="connsiteX5" fmla="*/ 49201 w 284955"/>
              <a:gd name="connsiteY5" fmla="*/ 34839 h 279631"/>
              <a:gd name="connsiteX6" fmla="*/ 7291 w 284955"/>
              <a:gd name="connsiteY6" fmla="*/ 189144 h 279631"/>
              <a:gd name="connsiteX7" fmla="*/ 7291 w 284955"/>
              <a:gd name="connsiteY7" fmla="*/ 189144 h 2796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4955" h="279631">
                <a:moveTo>
                  <a:pt x="7291" y="189144"/>
                </a:moveTo>
                <a:cubicBezTo>
                  <a:pt x="24436" y="199622"/>
                  <a:pt x="40629" y="213909"/>
                  <a:pt x="53011" y="230102"/>
                </a:cubicBezTo>
                <a:cubicBezTo>
                  <a:pt x="102541" y="224387"/>
                  <a:pt x="151119" y="242484"/>
                  <a:pt x="184456" y="279632"/>
                </a:cubicBezTo>
                <a:cubicBezTo>
                  <a:pt x="239701" y="262487"/>
                  <a:pt x="279706" y="213909"/>
                  <a:pt x="284469" y="155807"/>
                </a:cubicBezTo>
                <a:cubicBezTo>
                  <a:pt x="289231" y="97704"/>
                  <a:pt x="258751" y="42459"/>
                  <a:pt x="207316" y="15789"/>
                </a:cubicBezTo>
                <a:cubicBezTo>
                  <a:pt x="155881" y="-10881"/>
                  <a:pt x="93016" y="-3261"/>
                  <a:pt x="49201" y="34839"/>
                </a:cubicBezTo>
                <a:cubicBezTo>
                  <a:pt x="5386" y="72939"/>
                  <a:pt x="-10806" y="133899"/>
                  <a:pt x="7291" y="189144"/>
                </a:cubicBezTo>
                <a:lnTo>
                  <a:pt x="7291" y="189144"/>
                </a:lnTo>
                <a:close/>
              </a:path>
            </a:pathLst>
          </a:custGeom>
          <a:solidFill>
            <a:srgbClr val="E993EB"/>
          </a:solidFill>
          <a:ln w="9525" cap="flat">
            <a:noFill/>
            <a:prstDash val="solid"/>
            <a:miter/>
          </a:ln>
        </xdr:spPr>
        <xdr:txBody>
          <a:bodyPr rtlCol="0" anchor="ctr"/>
          <a:lstStyle/>
          <a:p>
            <a:endParaRPr lang="ru-RU"/>
          </a:p>
        </xdr:txBody>
      </xdr:sp>
    </xdr:grpSp>
    <xdr:clientData/>
  </xdr:twoCellAnchor>
  <xdr:twoCellAnchor>
    <xdr:from>
      <xdr:col>0</xdr:col>
      <xdr:colOff>152400</xdr:colOff>
      <xdr:row>6</xdr:row>
      <xdr:rowOff>123118</xdr:rowOff>
    </xdr:from>
    <xdr:to>
      <xdr:col>0</xdr:col>
      <xdr:colOff>426720</xdr:colOff>
      <xdr:row>8</xdr:row>
      <xdr:rowOff>30876</xdr:rowOff>
    </xdr:to>
    <xdr:pic>
      <xdr:nvPicPr>
        <xdr:cNvPr id="1136" name="Graphic 1135" descr="Moon and stars with solid fill">
          <a:extLst>
            <a:ext uri="{FF2B5EF4-FFF2-40B4-BE49-F238E27FC236}">
              <a16:creationId xmlns:a16="http://schemas.microsoft.com/office/drawing/2014/main" id="{61C4385B-B513-5B42-34C8-7CCAC18F3B0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2400" y="1220398"/>
          <a:ext cx="274320" cy="273518"/>
        </a:xfrm>
        <a:prstGeom prst="rect">
          <a:avLst/>
        </a:prstGeom>
      </xdr:spPr>
    </xdr:pic>
    <xdr:clientData/>
  </xdr:twoCellAnchor>
  <xdr:twoCellAnchor>
    <xdr:from>
      <xdr:col>0</xdr:col>
      <xdr:colOff>183687</xdr:colOff>
      <xdr:row>2</xdr:row>
      <xdr:rowOff>0</xdr:rowOff>
    </xdr:from>
    <xdr:to>
      <xdr:col>0</xdr:col>
      <xdr:colOff>458007</xdr:colOff>
      <xdr:row>3</xdr:row>
      <xdr:rowOff>91440</xdr:rowOff>
    </xdr:to>
    <xdr:pic>
      <xdr:nvPicPr>
        <xdr:cNvPr id="1137" name="Graphic 1136" descr="Sun with solid fill">
          <a:hlinkClick xmlns:r="http://schemas.openxmlformats.org/officeDocument/2006/relationships" r:id="rId15"/>
          <a:extLst>
            <a:ext uri="{FF2B5EF4-FFF2-40B4-BE49-F238E27FC236}">
              <a16:creationId xmlns:a16="http://schemas.microsoft.com/office/drawing/2014/main" id="{90EB517C-C478-CFE5-40A2-35AF84EC5D9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83687" y="365760"/>
          <a:ext cx="274320" cy="274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0</xdr:rowOff>
    </xdr:from>
    <xdr:to>
      <xdr:col>24</xdr:col>
      <xdr:colOff>7620</xdr:colOff>
      <xdr:row>45</xdr:row>
      <xdr:rowOff>0</xdr:rowOff>
    </xdr:to>
    <xdr:grpSp>
      <xdr:nvGrpSpPr>
        <xdr:cNvPr id="2" name="Group 1">
          <a:extLst>
            <a:ext uri="{FF2B5EF4-FFF2-40B4-BE49-F238E27FC236}">
              <a16:creationId xmlns:a16="http://schemas.microsoft.com/office/drawing/2014/main" id="{7A3CD895-0E54-4C80-816F-9117452E9397}"/>
            </a:ext>
          </a:extLst>
        </xdr:cNvPr>
        <xdr:cNvGrpSpPr/>
      </xdr:nvGrpSpPr>
      <xdr:grpSpPr>
        <a:xfrm>
          <a:off x="7620" y="0"/>
          <a:ext cx="14630400" cy="8572500"/>
          <a:chOff x="172844" y="6858000"/>
          <a:chExt cx="11850624" cy="7235580"/>
        </a:xfrm>
      </xdr:grpSpPr>
      <xdr:sp macro="" textlink="">
        <xdr:nvSpPr>
          <xdr:cNvPr id="3" name="Rectangle 2">
            <a:extLst>
              <a:ext uri="{FF2B5EF4-FFF2-40B4-BE49-F238E27FC236}">
                <a16:creationId xmlns:a16="http://schemas.microsoft.com/office/drawing/2014/main" id="{560B60B0-1A24-4594-308F-65920547DE4F}"/>
              </a:ext>
            </a:extLst>
          </xdr:cNvPr>
          <xdr:cNvSpPr/>
        </xdr:nvSpPr>
        <xdr:spPr>
          <a:xfrm>
            <a:off x="172844" y="6858000"/>
            <a:ext cx="11846312" cy="7235580"/>
          </a:xfrm>
          <a:prstGeom prst="rect">
            <a:avLst/>
          </a:prstGeom>
          <a:gradFill flip="none" rotWithShape="1">
            <a:gsLst>
              <a:gs pos="28000">
                <a:srgbClr val="353C96"/>
              </a:gs>
              <a:gs pos="97000">
                <a:srgbClr val="2587D1"/>
              </a:gs>
            </a:gsLst>
            <a:lin ang="30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 name="Rectangle 3">
            <a:extLst>
              <a:ext uri="{FF2B5EF4-FFF2-40B4-BE49-F238E27FC236}">
                <a16:creationId xmlns:a16="http://schemas.microsoft.com/office/drawing/2014/main" id="{84D4308E-8B22-3E99-7A23-45809578FDF0}"/>
              </a:ext>
            </a:extLst>
          </xdr:cNvPr>
          <xdr:cNvSpPr/>
        </xdr:nvSpPr>
        <xdr:spPr>
          <a:xfrm>
            <a:off x="172844" y="6858000"/>
            <a:ext cx="11850624" cy="7235580"/>
          </a:xfrm>
          <a:prstGeom prst="rect">
            <a:avLst/>
          </a:prstGeom>
          <a:gradFill flip="none" rotWithShape="1">
            <a:gsLst>
              <a:gs pos="0">
                <a:srgbClr val="A66AB0"/>
              </a:gs>
              <a:gs pos="37000">
                <a:srgbClr val="353C97">
                  <a:alpha val="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91440</xdr:colOff>
      <xdr:row>2</xdr:row>
      <xdr:rowOff>15240</xdr:rowOff>
    </xdr:from>
    <xdr:to>
      <xdr:col>20</xdr:col>
      <xdr:colOff>426720</xdr:colOff>
      <xdr:row>37</xdr:row>
      <xdr:rowOff>106680</xdr:rowOff>
    </xdr:to>
    <xdr:grpSp>
      <xdr:nvGrpSpPr>
        <xdr:cNvPr id="5" name="Group 4">
          <a:extLst>
            <a:ext uri="{FF2B5EF4-FFF2-40B4-BE49-F238E27FC236}">
              <a16:creationId xmlns:a16="http://schemas.microsoft.com/office/drawing/2014/main" id="{2D8E6552-021F-4292-8FCD-705FEC6E5070}"/>
            </a:ext>
          </a:extLst>
        </xdr:cNvPr>
        <xdr:cNvGrpSpPr/>
      </xdr:nvGrpSpPr>
      <xdr:grpSpPr>
        <a:xfrm>
          <a:off x="1920240" y="396240"/>
          <a:ext cx="10698480" cy="6758940"/>
          <a:chOff x="914143" y="7218382"/>
          <a:chExt cx="10698480" cy="6492240"/>
        </a:xfrm>
        <a:effectLst>
          <a:outerShdw blurRad="571500" dist="190500" dir="8100000" algn="tr" rotWithShape="0">
            <a:prstClr val="black">
              <a:alpha val="60000"/>
            </a:prstClr>
          </a:outerShdw>
        </a:effectLst>
      </xdr:grpSpPr>
      <xdr:sp macro="" textlink="">
        <xdr:nvSpPr>
          <xdr:cNvPr id="6" name="Rectangle: Rounded Corners 5">
            <a:extLst>
              <a:ext uri="{FF2B5EF4-FFF2-40B4-BE49-F238E27FC236}">
                <a16:creationId xmlns:a16="http://schemas.microsoft.com/office/drawing/2014/main" id="{2241642B-9570-86E9-731D-FCCCF0381D56}"/>
              </a:ext>
            </a:extLst>
          </xdr:cNvPr>
          <xdr:cNvSpPr/>
        </xdr:nvSpPr>
        <xdr:spPr>
          <a:xfrm>
            <a:off x="914143" y="7218382"/>
            <a:ext cx="10698480" cy="6492240"/>
          </a:xfrm>
          <a:prstGeom prst="roundRect">
            <a:avLst>
              <a:gd name="adj" fmla="val 5678"/>
            </a:avLst>
          </a:prstGeom>
          <a:gradFill flip="none" rotWithShape="1">
            <a:gsLst>
              <a:gs pos="100000">
                <a:srgbClr val="1A598D"/>
              </a:gs>
              <a:gs pos="72000">
                <a:srgbClr val="353874"/>
              </a:gs>
              <a:gs pos="27000">
                <a:srgbClr val="353874"/>
              </a:gs>
              <a:gs pos="0">
                <a:srgbClr val="43348B"/>
              </a:gs>
            </a:gsLst>
            <a:lin ang="2700000" scaled="1"/>
            <a:tileRect/>
          </a:gradFill>
          <a:ln w="9525">
            <a:gradFill flip="none" rotWithShape="1">
              <a:gsLst>
                <a:gs pos="0">
                  <a:srgbClr val="00B0F0"/>
                </a:gs>
                <a:gs pos="100000">
                  <a:srgbClr val="7030A0"/>
                </a:gs>
                <a:gs pos="58000">
                  <a:srgbClr val="8776B8"/>
                </a:gs>
                <a:gs pos="34000">
                  <a:srgbClr val="F2BBF3"/>
                </a:gs>
              </a:gsLst>
              <a:lin ang="135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 name="Rectangle: Rounded Corners 6">
            <a:extLst>
              <a:ext uri="{FF2B5EF4-FFF2-40B4-BE49-F238E27FC236}">
                <a16:creationId xmlns:a16="http://schemas.microsoft.com/office/drawing/2014/main" id="{39E78D30-AC91-516F-1D95-9939126F24E1}"/>
              </a:ext>
            </a:extLst>
          </xdr:cNvPr>
          <xdr:cNvSpPr/>
        </xdr:nvSpPr>
        <xdr:spPr>
          <a:xfrm>
            <a:off x="914143" y="7218382"/>
            <a:ext cx="10698480" cy="6492240"/>
          </a:xfrm>
          <a:prstGeom prst="roundRect">
            <a:avLst>
              <a:gd name="adj" fmla="val 5678"/>
            </a:avLst>
          </a:prstGeom>
          <a:gradFill flip="none" rotWithShape="1">
            <a:gsLst>
              <a:gs pos="100000">
                <a:srgbClr val="5E376F"/>
              </a:gs>
              <a:gs pos="72000">
                <a:srgbClr val="353874">
                  <a:alpha val="0"/>
                </a:srgbClr>
              </a:gs>
              <a:gs pos="27000">
                <a:srgbClr val="353874">
                  <a:alpha val="0"/>
                </a:srgbClr>
              </a:gs>
              <a:gs pos="0">
                <a:srgbClr val="43348B"/>
              </a:gs>
            </a:gsLst>
            <a:lin ang="18900000" scaled="1"/>
            <a:tileRect/>
          </a:gradFill>
          <a:ln w="9525">
            <a:gradFill flip="none" rotWithShape="1">
              <a:gsLst>
                <a:gs pos="0">
                  <a:srgbClr val="00B0F0"/>
                </a:gs>
                <a:gs pos="100000">
                  <a:srgbClr val="9079D9"/>
                </a:gs>
                <a:gs pos="68000">
                  <a:srgbClr val="6956B1"/>
                </a:gs>
                <a:gs pos="34000">
                  <a:srgbClr val="F2BBF3"/>
                </a:gs>
              </a:gsLst>
              <a:lin ang="135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488462</xdr:colOff>
      <xdr:row>3</xdr:row>
      <xdr:rowOff>167548</xdr:rowOff>
    </xdr:from>
    <xdr:to>
      <xdr:col>7</xdr:col>
      <xdr:colOff>492048</xdr:colOff>
      <xdr:row>12</xdr:row>
      <xdr:rowOff>167548</xdr:rowOff>
    </xdr:to>
    <xdr:sp macro="" textlink="">
      <xdr:nvSpPr>
        <xdr:cNvPr id="8" name="Rectangle: Rounded Corners 7">
          <a:extLst>
            <a:ext uri="{FF2B5EF4-FFF2-40B4-BE49-F238E27FC236}">
              <a16:creationId xmlns:a16="http://schemas.microsoft.com/office/drawing/2014/main" id="{DA7B3920-B8B2-4DEF-A7A4-ABC86F780E88}"/>
            </a:ext>
          </a:extLst>
        </xdr:cNvPr>
        <xdr:cNvSpPr/>
      </xdr:nvSpPr>
      <xdr:spPr>
        <a:xfrm>
          <a:off x="2317262" y="716188"/>
          <a:ext cx="2441986" cy="1645920"/>
        </a:xfrm>
        <a:prstGeom prst="roundRect">
          <a:avLst>
            <a:gd name="adj" fmla="val 9318"/>
          </a:avLst>
        </a:prstGeom>
        <a:gradFill flip="none" rotWithShape="1">
          <a:gsLst>
            <a:gs pos="3000">
              <a:srgbClr val="574998"/>
            </a:gs>
            <a:gs pos="76000">
              <a:srgbClr val="262D6A"/>
            </a:gs>
          </a:gsLst>
          <a:lin ang="6600000" scaled="0"/>
          <a:tileRect/>
        </a:gradFill>
        <a:ln w="9525">
          <a:gradFill flip="none" rotWithShape="1">
            <a:gsLst>
              <a:gs pos="0">
                <a:srgbClr val="BB75D8"/>
              </a:gs>
              <a:gs pos="51000">
                <a:srgbClr val="3B3E75"/>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100053</xdr:colOff>
      <xdr:row>3</xdr:row>
      <xdr:rowOff>170237</xdr:rowOff>
    </xdr:from>
    <xdr:to>
      <xdr:col>12</xdr:col>
      <xdr:colOff>474302</xdr:colOff>
      <xdr:row>12</xdr:row>
      <xdr:rowOff>170237</xdr:rowOff>
    </xdr:to>
    <xdr:sp macro="" textlink="">
      <xdr:nvSpPr>
        <xdr:cNvPr id="9" name="Rectangle: Rounded Corners 8">
          <a:extLst>
            <a:ext uri="{FF2B5EF4-FFF2-40B4-BE49-F238E27FC236}">
              <a16:creationId xmlns:a16="http://schemas.microsoft.com/office/drawing/2014/main" id="{DC72D8E9-94F8-4180-B256-7BBEC28F0762}"/>
            </a:ext>
          </a:extLst>
        </xdr:cNvPr>
        <xdr:cNvSpPr/>
      </xdr:nvSpPr>
      <xdr:spPr>
        <a:xfrm>
          <a:off x="4976853" y="718877"/>
          <a:ext cx="2812649" cy="1645920"/>
        </a:xfrm>
        <a:prstGeom prst="roundRect">
          <a:avLst>
            <a:gd name="adj" fmla="val 8437"/>
          </a:avLst>
        </a:prstGeom>
        <a:gradFill flip="none" rotWithShape="1">
          <a:gsLst>
            <a:gs pos="0">
              <a:srgbClr val="7D59A1"/>
            </a:gs>
            <a:gs pos="68000">
              <a:srgbClr val="30306F"/>
            </a:gs>
          </a:gsLst>
          <a:lin ang="6600000" scaled="0"/>
          <a:tileRect/>
        </a:gradFill>
        <a:ln w="9525">
          <a:solidFill>
            <a:srgbClr val="EB97ED"/>
          </a:soli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317657</xdr:colOff>
      <xdr:row>5</xdr:row>
      <xdr:rowOff>25457</xdr:rowOff>
    </xdr:from>
    <xdr:to>
      <xdr:col>12</xdr:col>
      <xdr:colOff>256697</xdr:colOff>
      <xdr:row>11</xdr:row>
      <xdr:rowOff>116897</xdr:rowOff>
    </xdr:to>
    <xdr:grpSp>
      <xdr:nvGrpSpPr>
        <xdr:cNvPr id="13" name="Group 12">
          <a:extLst>
            <a:ext uri="{FF2B5EF4-FFF2-40B4-BE49-F238E27FC236}">
              <a16:creationId xmlns:a16="http://schemas.microsoft.com/office/drawing/2014/main" id="{D8CBA8CB-6415-488D-BA10-D6A1DC2E62E7}"/>
            </a:ext>
          </a:extLst>
        </xdr:cNvPr>
        <xdr:cNvGrpSpPr/>
      </xdr:nvGrpSpPr>
      <xdr:grpSpPr>
        <a:xfrm>
          <a:off x="5194457" y="977957"/>
          <a:ext cx="2377440" cy="1234440"/>
          <a:chOff x="4327066" y="2477006"/>
          <a:chExt cx="2017854" cy="1200912"/>
        </a:xfrm>
        <a:effectLst>
          <a:outerShdw blurRad="190500" dist="63500" dir="8100000" algn="tr" rotWithShape="0">
            <a:prstClr val="black">
              <a:alpha val="80000"/>
            </a:prstClr>
          </a:outerShdw>
        </a:effectLst>
      </xdr:grpSpPr>
      <xdr:sp macro="" textlink="">
        <xdr:nvSpPr>
          <xdr:cNvPr id="14" name="Rectangle: Rounded Corners 13">
            <a:extLst>
              <a:ext uri="{FF2B5EF4-FFF2-40B4-BE49-F238E27FC236}">
                <a16:creationId xmlns:a16="http://schemas.microsoft.com/office/drawing/2014/main" id="{C02EBCD8-4E30-1C00-3F93-F6927EB3788E}"/>
              </a:ext>
            </a:extLst>
          </xdr:cNvPr>
          <xdr:cNvSpPr/>
        </xdr:nvSpPr>
        <xdr:spPr>
          <a:xfrm>
            <a:off x="4327066" y="2477006"/>
            <a:ext cx="2017854" cy="1200912"/>
          </a:xfrm>
          <a:prstGeom prst="roundRect">
            <a:avLst>
              <a:gd name="adj" fmla="val 12606"/>
            </a:avLst>
          </a:prstGeom>
          <a:gradFill flip="none" rotWithShape="1">
            <a:gsLst>
              <a:gs pos="0">
                <a:srgbClr val="614AAB"/>
              </a:gs>
              <a:gs pos="93000">
                <a:srgbClr val="394CA9"/>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E15">
        <xdr:nvSpPr>
          <xdr:cNvPr id="15" name="Rectangle: Rounded Corners 14">
            <a:extLst>
              <a:ext uri="{FF2B5EF4-FFF2-40B4-BE49-F238E27FC236}">
                <a16:creationId xmlns:a16="http://schemas.microsoft.com/office/drawing/2014/main" id="{1444E2EA-763A-5C1E-144D-4C150D51A871}"/>
              </a:ext>
            </a:extLst>
          </xdr:cNvPr>
          <xdr:cNvSpPr/>
        </xdr:nvSpPr>
        <xdr:spPr>
          <a:xfrm>
            <a:off x="4327066" y="2477006"/>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7F9CE73C-E2A6-491B-A672-9AFFE5A714CF}" type="TxLink">
              <a:rPr lang="en-US" sz="3400" b="0" i="0" u="none" strike="noStrike">
                <a:solidFill>
                  <a:schemeClr val="bg1"/>
                </a:solidFill>
                <a:latin typeface="Aptos Narrow"/>
              </a:rPr>
              <a:pPr algn="l"/>
              <a:t> $206,601 </a:t>
            </a:fld>
            <a:endParaRPr lang="ru-RU" sz="3400">
              <a:solidFill>
                <a:schemeClr val="bg1"/>
              </a:solidFill>
            </a:endParaRPr>
          </a:p>
        </xdr:txBody>
      </xdr:sp>
    </xdr:grpSp>
    <xdr:clientData/>
  </xdr:twoCellAnchor>
  <xdr:twoCellAnchor>
    <xdr:from>
      <xdr:col>13</xdr:col>
      <xdr:colOff>117892</xdr:colOff>
      <xdr:row>3</xdr:row>
      <xdr:rowOff>167548</xdr:rowOff>
    </xdr:from>
    <xdr:to>
      <xdr:col>20</xdr:col>
      <xdr:colOff>11212</xdr:colOff>
      <xdr:row>17</xdr:row>
      <xdr:rowOff>86268</xdr:rowOff>
    </xdr:to>
    <xdr:sp macro="" textlink="">
      <xdr:nvSpPr>
        <xdr:cNvPr id="16" name="Rectangle: Rounded Corners 15">
          <a:extLst>
            <a:ext uri="{FF2B5EF4-FFF2-40B4-BE49-F238E27FC236}">
              <a16:creationId xmlns:a16="http://schemas.microsoft.com/office/drawing/2014/main" id="{999823D4-B5D8-47AA-B550-537AC6325BE1}"/>
            </a:ext>
          </a:extLst>
        </xdr:cNvPr>
        <xdr:cNvSpPr/>
      </xdr:nvSpPr>
      <xdr:spPr>
        <a:xfrm>
          <a:off x="8042692" y="716188"/>
          <a:ext cx="4160520" cy="2479040"/>
        </a:xfrm>
        <a:prstGeom prst="roundRect">
          <a:avLst>
            <a:gd name="adj" fmla="val 8437"/>
          </a:avLst>
        </a:prstGeom>
        <a:gradFill flip="none" rotWithShape="1">
          <a:gsLst>
            <a:gs pos="85000">
              <a:srgbClr val="4F4C91"/>
            </a:gs>
            <a:gs pos="34000">
              <a:srgbClr val="7B5FA2"/>
            </a:gs>
            <a:gs pos="0">
              <a:srgbClr val="9D71AE"/>
            </a:gs>
            <a:gs pos="69000">
              <a:srgbClr val="5A4E94"/>
            </a:gs>
          </a:gsLst>
          <a:lin ang="6000000" scaled="0"/>
          <a:tileRect/>
        </a:gradFill>
        <a:ln w="9525">
          <a:gradFill flip="none" rotWithShape="1">
            <a:gsLst>
              <a:gs pos="0">
                <a:srgbClr val="F2BBF3"/>
              </a:gs>
              <a:gs pos="58000">
                <a:srgbClr val="9079D9"/>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tx2">
                <a:lumMod val="10000"/>
                <a:lumOff val="90000"/>
              </a:schemeClr>
            </a:solidFill>
          </a:endParaRPr>
        </a:p>
      </xdr:txBody>
    </xdr:sp>
    <xdr:clientData/>
  </xdr:twoCellAnchor>
  <xdr:twoCellAnchor>
    <xdr:from>
      <xdr:col>16</xdr:col>
      <xdr:colOff>346492</xdr:colOff>
      <xdr:row>18</xdr:row>
      <xdr:rowOff>130175</xdr:rowOff>
    </xdr:from>
    <xdr:to>
      <xdr:col>20</xdr:col>
      <xdr:colOff>11212</xdr:colOff>
      <xdr:row>35</xdr:row>
      <xdr:rowOff>130175</xdr:rowOff>
    </xdr:to>
    <xdr:sp macro="" textlink="">
      <xdr:nvSpPr>
        <xdr:cNvPr id="17" name="Rectangle: Rounded Corners 16">
          <a:extLst>
            <a:ext uri="{FF2B5EF4-FFF2-40B4-BE49-F238E27FC236}">
              <a16:creationId xmlns:a16="http://schemas.microsoft.com/office/drawing/2014/main" id="{980A558D-D596-4E5D-A043-EDEC8A6CF005}"/>
            </a:ext>
          </a:extLst>
        </xdr:cNvPr>
        <xdr:cNvSpPr/>
      </xdr:nvSpPr>
      <xdr:spPr>
        <a:xfrm>
          <a:off x="10100092" y="3422015"/>
          <a:ext cx="2103120" cy="3108960"/>
        </a:xfrm>
        <a:prstGeom prst="roundRect">
          <a:avLst>
            <a:gd name="adj" fmla="val 8437"/>
          </a:avLst>
        </a:prstGeom>
        <a:gradFill flip="none" rotWithShape="1">
          <a:gsLst>
            <a:gs pos="68536">
              <a:srgbClr val="324385"/>
            </a:gs>
            <a:gs pos="100000">
              <a:srgbClr val="2A3E7E"/>
            </a:gs>
            <a:gs pos="28000">
              <a:srgbClr val="3F488D"/>
            </a:gs>
            <a:gs pos="0">
              <a:srgbClr val="56549D"/>
            </a:gs>
          </a:gsLst>
          <a:lin ang="5400000" scaled="0"/>
          <a:tileRect/>
        </a:gradFill>
        <a:ln w="9525">
          <a:gradFill>
            <a:gsLst>
              <a:gs pos="0">
                <a:srgbClr val="997ABC"/>
              </a:gs>
              <a:gs pos="100000">
                <a:srgbClr val="404380"/>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13</xdr:col>
      <xdr:colOff>117892</xdr:colOff>
      <xdr:row>18</xdr:row>
      <xdr:rowOff>130175</xdr:rowOff>
    </xdr:from>
    <xdr:to>
      <xdr:col>16</xdr:col>
      <xdr:colOff>117892</xdr:colOff>
      <xdr:row>35</xdr:row>
      <xdr:rowOff>130175</xdr:rowOff>
    </xdr:to>
    <xdr:sp macro="" textlink="">
      <xdr:nvSpPr>
        <xdr:cNvPr id="18" name="Rectangle: Rounded Corners 17">
          <a:extLst>
            <a:ext uri="{FF2B5EF4-FFF2-40B4-BE49-F238E27FC236}">
              <a16:creationId xmlns:a16="http://schemas.microsoft.com/office/drawing/2014/main" id="{EE584B67-01D5-4D88-8E33-23121DAE0A52}"/>
            </a:ext>
          </a:extLst>
        </xdr:cNvPr>
        <xdr:cNvSpPr/>
      </xdr:nvSpPr>
      <xdr:spPr>
        <a:xfrm>
          <a:off x="8042692" y="3422015"/>
          <a:ext cx="1828800" cy="3108960"/>
        </a:xfrm>
        <a:prstGeom prst="roundRect">
          <a:avLst>
            <a:gd name="adj" fmla="val 8437"/>
          </a:avLst>
        </a:prstGeom>
        <a:gradFill flip="none" rotWithShape="1">
          <a:gsLst>
            <a:gs pos="68536">
              <a:srgbClr val="324385"/>
            </a:gs>
            <a:gs pos="100000">
              <a:srgbClr val="2A3E7E"/>
            </a:gs>
            <a:gs pos="28000">
              <a:srgbClr val="3F488D"/>
            </a:gs>
            <a:gs pos="0">
              <a:srgbClr val="56549D"/>
            </a:gs>
          </a:gsLst>
          <a:lin ang="5400000" scaled="0"/>
          <a:tileRect/>
        </a:gradFill>
        <a:ln w="9525">
          <a:gradFill>
            <a:gsLst>
              <a:gs pos="0">
                <a:srgbClr val="997ABC"/>
              </a:gs>
              <a:gs pos="100000">
                <a:srgbClr val="404380"/>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482872</xdr:colOff>
      <xdr:row>14</xdr:row>
      <xdr:rowOff>45720</xdr:rowOff>
    </xdr:from>
    <xdr:to>
      <xdr:col>12</xdr:col>
      <xdr:colOff>474302</xdr:colOff>
      <xdr:row>35</xdr:row>
      <xdr:rowOff>130175</xdr:rowOff>
    </xdr:to>
    <xdr:sp macro="" textlink="">
      <xdr:nvSpPr>
        <xdr:cNvPr id="19" name="Rectangle: Rounded Corners 18">
          <a:extLst>
            <a:ext uri="{FF2B5EF4-FFF2-40B4-BE49-F238E27FC236}">
              <a16:creationId xmlns:a16="http://schemas.microsoft.com/office/drawing/2014/main" id="{BAB90DB7-B529-4B40-8129-E8855948DEF5}"/>
            </a:ext>
          </a:extLst>
        </xdr:cNvPr>
        <xdr:cNvSpPr/>
      </xdr:nvSpPr>
      <xdr:spPr>
        <a:xfrm>
          <a:off x="2311672" y="2606040"/>
          <a:ext cx="5477830" cy="3924935"/>
        </a:xfrm>
        <a:prstGeom prst="roundRect">
          <a:avLst>
            <a:gd name="adj" fmla="val 3638"/>
          </a:avLst>
        </a:prstGeom>
        <a:gradFill>
          <a:gsLst>
            <a:gs pos="0">
              <a:srgbClr val="515092"/>
            </a:gs>
            <a:gs pos="79000">
              <a:srgbClr val="2C3977"/>
            </a:gs>
          </a:gsLst>
          <a:lin ang="5400000" scaled="0"/>
        </a:gradFill>
        <a:ln w="9525">
          <a:gradFill flip="none" rotWithShape="1">
            <a:gsLst>
              <a:gs pos="0">
                <a:srgbClr val="997ABC"/>
              </a:gs>
              <a:gs pos="81000">
                <a:srgbClr val="404380"/>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106680</xdr:colOff>
      <xdr:row>5</xdr:row>
      <xdr:rowOff>15240</xdr:rowOff>
    </xdr:from>
    <xdr:to>
      <xdr:col>7</xdr:col>
      <xdr:colOff>289560</xdr:colOff>
      <xdr:row>11</xdr:row>
      <xdr:rowOff>106680</xdr:rowOff>
    </xdr:to>
    <xdr:grpSp>
      <xdr:nvGrpSpPr>
        <xdr:cNvPr id="20" name="Group 19">
          <a:extLst>
            <a:ext uri="{FF2B5EF4-FFF2-40B4-BE49-F238E27FC236}">
              <a16:creationId xmlns:a16="http://schemas.microsoft.com/office/drawing/2014/main" id="{B76D1524-D62D-4D10-9D53-7624349BD9D4}"/>
            </a:ext>
          </a:extLst>
        </xdr:cNvPr>
        <xdr:cNvGrpSpPr/>
      </xdr:nvGrpSpPr>
      <xdr:grpSpPr>
        <a:xfrm>
          <a:off x="2545080" y="967740"/>
          <a:ext cx="2011680" cy="1234440"/>
          <a:chOff x="2234106" y="2775708"/>
          <a:chExt cx="2017854" cy="1200912"/>
        </a:xfrm>
        <a:effectLst>
          <a:outerShdw blurRad="190500" dist="63500" dir="8100000" algn="tr" rotWithShape="0">
            <a:prstClr val="black">
              <a:alpha val="80000"/>
            </a:prstClr>
          </a:outerShdw>
        </a:effectLst>
      </xdr:grpSpPr>
      <xdr:sp macro="" textlink="">
        <xdr:nvSpPr>
          <xdr:cNvPr id="21" name="Rectangle: Rounded Corners 20">
            <a:extLst>
              <a:ext uri="{FF2B5EF4-FFF2-40B4-BE49-F238E27FC236}">
                <a16:creationId xmlns:a16="http://schemas.microsoft.com/office/drawing/2014/main" id="{138806A4-30C7-AEC7-DE08-ECFBCB728204}"/>
              </a:ext>
            </a:extLst>
          </xdr:cNvPr>
          <xdr:cNvSpPr/>
        </xdr:nvSpPr>
        <xdr:spPr>
          <a:xfrm>
            <a:off x="2234106" y="2775708"/>
            <a:ext cx="2017854" cy="1200912"/>
          </a:xfrm>
          <a:prstGeom prst="roundRect">
            <a:avLst>
              <a:gd name="adj" fmla="val 12606"/>
            </a:avLst>
          </a:prstGeom>
          <a:gradFill flip="none" rotWithShape="1">
            <a:gsLst>
              <a:gs pos="0">
                <a:srgbClr val="614AAB"/>
              </a:gs>
              <a:gs pos="100000">
                <a:srgbClr val="3636A6"/>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R6">
        <xdr:nvSpPr>
          <xdr:cNvPr id="22" name="Rectangle: Rounded Corners 21">
            <a:extLst>
              <a:ext uri="{FF2B5EF4-FFF2-40B4-BE49-F238E27FC236}">
                <a16:creationId xmlns:a16="http://schemas.microsoft.com/office/drawing/2014/main" id="{751A80A5-2E70-C782-B589-A6567E794FA2}"/>
              </a:ext>
            </a:extLst>
          </xdr:cNvPr>
          <xdr:cNvSpPr/>
        </xdr:nvSpPr>
        <xdr:spPr>
          <a:xfrm>
            <a:off x="2234106" y="2775708"/>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9D5B22AD-2689-4A19-8294-60DCF73D852F}" type="TxLink">
              <a:rPr lang="en-US" sz="4000" b="0" i="0" u="none" strike="noStrike">
                <a:solidFill>
                  <a:schemeClr val="bg1"/>
                </a:solidFill>
                <a:latin typeface="Aptos Narrow"/>
              </a:rPr>
              <a:pPr algn="l"/>
              <a:t> 3 611</a:t>
            </a:fld>
            <a:endParaRPr lang="ru-RU" sz="4000">
              <a:solidFill>
                <a:schemeClr val="bg1"/>
              </a:solidFill>
            </a:endParaRPr>
          </a:p>
        </xdr:txBody>
      </xdr:sp>
    </xdr:grpSp>
    <xdr:clientData/>
  </xdr:twoCellAnchor>
  <xdr:twoCellAnchor>
    <xdr:from>
      <xdr:col>16</xdr:col>
      <xdr:colOff>289559</xdr:colOff>
      <xdr:row>5</xdr:row>
      <xdr:rowOff>73343</xdr:rowOff>
    </xdr:from>
    <xdr:to>
      <xdr:col>19</xdr:col>
      <xdr:colOff>289559</xdr:colOff>
      <xdr:row>15</xdr:row>
      <xdr:rowOff>73343</xdr:rowOff>
    </xdr:to>
    <xdr:sp macro="" textlink="">
      <xdr:nvSpPr>
        <xdr:cNvPr id="26" name="Circle: Hollow 25">
          <a:extLst>
            <a:ext uri="{FF2B5EF4-FFF2-40B4-BE49-F238E27FC236}">
              <a16:creationId xmlns:a16="http://schemas.microsoft.com/office/drawing/2014/main" id="{B5E599A7-D7BA-4D22-9E3C-490E7E0A2B11}"/>
            </a:ext>
          </a:extLst>
        </xdr:cNvPr>
        <xdr:cNvSpPr/>
      </xdr:nvSpPr>
      <xdr:spPr>
        <a:xfrm>
          <a:off x="10043159" y="987743"/>
          <a:ext cx="1828800" cy="1828800"/>
        </a:xfrm>
        <a:prstGeom prst="donut">
          <a:avLst>
            <a:gd name="adj" fmla="val 20022"/>
          </a:avLst>
        </a:prstGeom>
        <a:solidFill>
          <a:srgbClr val="775A94"/>
        </a:solidFill>
        <a:ln>
          <a:noFill/>
        </a:ln>
        <a:effectLst>
          <a:innerShdw blurRad="254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15</xdr:col>
      <xdr:colOff>218883</xdr:colOff>
      <xdr:row>4</xdr:row>
      <xdr:rowOff>22860</xdr:rowOff>
    </xdr:from>
    <xdr:to>
      <xdr:col>20</xdr:col>
      <xdr:colOff>213549</xdr:colOff>
      <xdr:row>17</xdr:row>
      <xdr:rowOff>22860</xdr:rowOff>
    </xdr:to>
    <xdr:graphicFrame macro="">
      <xdr:nvGraphicFramePr>
        <xdr:cNvPr id="27" name="Chart 26">
          <a:extLst>
            <a:ext uri="{FF2B5EF4-FFF2-40B4-BE49-F238E27FC236}">
              <a16:creationId xmlns:a16="http://schemas.microsoft.com/office/drawing/2014/main" id="{DEDF663C-C14D-408F-890A-7AEF8E461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144780</xdr:colOff>
      <xdr:row>8</xdr:row>
      <xdr:rowOff>175260</xdr:rowOff>
    </xdr:from>
    <xdr:to>
      <xdr:col>18</xdr:col>
      <xdr:colOff>464820</xdr:colOff>
      <xdr:row>11</xdr:row>
      <xdr:rowOff>144780</xdr:rowOff>
    </xdr:to>
    <xdr:sp macro="" textlink="Processing!L1">
      <xdr:nvSpPr>
        <xdr:cNvPr id="28" name="TextBox 27">
          <a:extLst>
            <a:ext uri="{FF2B5EF4-FFF2-40B4-BE49-F238E27FC236}">
              <a16:creationId xmlns:a16="http://schemas.microsoft.com/office/drawing/2014/main" id="{9E9720A6-A89A-401F-897A-A718780C35DD}"/>
            </a:ext>
          </a:extLst>
        </xdr:cNvPr>
        <xdr:cNvSpPr txBox="1"/>
      </xdr:nvSpPr>
      <xdr:spPr>
        <a:xfrm>
          <a:off x="10507980" y="1638300"/>
          <a:ext cx="9296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13EBC-4154-46D3-8C89-E3581B3DEC57}" type="TxLink">
            <a:rPr lang="en-US" sz="28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algn="ctr"/>
            <a:t>69%</a:t>
          </a:fld>
          <a:endParaRPr lang="ru-RU" sz="28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556260</xdr:colOff>
      <xdr:row>6</xdr:row>
      <xdr:rowOff>111668</xdr:rowOff>
    </xdr:from>
    <xdr:to>
      <xdr:col>15</xdr:col>
      <xdr:colOff>441960</xdr:colOff>
      <xdr:row>14</xdr:row>
      <xdr:rowOff>142148</xdr:rowOff>
    </xdr:to>
    <xdr:sp macro="" textlink="Processing!L3">
      <xdr:nvSpPr>
        <xdr:cNvPr id="29" name="TextBox 28">
          <a:extLst>
            <a:ext uri="{FF2B5EF4-FFF2-40B4-BE49-F238E27FC236}">
              <a16:creationId xmlns:a16="http://schemas.microsoft.com/office/drawing/2014/main" id="{1D96C611-3873-4157-B63B-0BA43FDD2C72}"/>
            </a:ext>
          </a:extLst>
        </xdr:cNvPr>
        <xdr:cNvSpPr txBox="1"/>
      </xdr:nvSpPr>
      <xdr:spPr>
        <a:xfrm>
          <a:off x="8481060" y="1208948"/>
          <a:ext cx="1104900" cy="149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192E12-50AD-4E0A-B2D0-AEA7EAFE272F}" type="TxLink">
            <a:rPr lang="en-US"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algn="l"/>
            <a:t>Referral
Social
Organic
Other</a:t>
          </a:fld>
          <a:endParaRPr lang="ru-RU" sz="40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15</xdr:col>
      <xdr:colOff>176554</xdr:colOff>
      <xdr:row>6</xdr:row>
      <xdr:rowOff>15994</xdr:rowOff>
    </xdr:from>
    <xdr:to>
      <xdr:col>16</xdr:col>
      <xdr:colOff>265406</xdr:colOff>
      <xdr:row>15</xdr:row>
      <xdr:rowOff>54942</xdr:rowOff>
    </xdr:to>
    <xdr:sp macro="" textlink="Processing!L4">
      <xdr:nvSpPr>
        <xdr:cNvPr id="30" name="TextBox 29">
          <a:extLst>
            <a:ext uri="{FF2B5EF4-FFF2-40B4-BE49-F238E27FC236}">
              <a16:creationId xmlns:a16="http://schemas.microsoft.com/office/drawing/2014/main" id="{845406EF-9528-4243-A05C-FAE6BE929452}"/>
            </a:ext>
          </a:extLst>
        </xdr:cNvPr>
        <xdr:cNvSpPr txBox="1"/>
      </xdr:nvSpPr>
      <xdr:spPr>
        <a:xfrm>
          <a:off x="9320554" y="1113274"/>
          <a:ext cx="698452" cy="168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4F74C0-A175-46A3-99F1-6AC9F525AB7E}" type="TxLink">
            <a:rPr lang="en-US"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marL="0" indent="0" algn="l"/>
            <a:t>13%
39%
17%
31%</a:t>
          </a:fld>
          <a:endParaRPr lang="ru-RU"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396240</xdr:colOff>
      <xdr:row>8</xdr:row>
      <xdr:rowOff>53340</xdr:rowOff>
    </xdr:from>
    <xdr:to>
      <xdr:col>13</xdr:col>
      <xdr:colOff>533400</xdr:colOff>
      <xdr:row>9</xdr:row>
      <xdr:rowOff>7620</xdr:rowOff>
    </xdr:to>
    <xdr:sp macro="" textlink="">
      <xdr:nvSpPr>
        <xdr:cNvPr id="31" name="Oval 30">
          <a:extLst>
            <a:ext uri="{FF2B5EF4-FFF2-40B4-BE49-F238E27FC236}">
              <a16:creationId xmlns:a16="http://schemas.microsoft.com/office/drawing/2014/main" id="{50196038-321F-41E2-9DE1-0D54FFC3135E}"/>
            </a:ext>
          </a:extLst>
        </xdr:cNvPr>
        <xdr:cNvSpPr/>
      </xdr:nvSpPr>
      <xdr:spPr>
        <a:xfrm>
          <a:off x="8321040" y="1516380"/>
          <a:ext cx="137160" cy="137160"/>
        </a:xfrm>
        <a:prstGeom prst="ellipse">
          <a:avLst/>
        </a:prstGeom>
        <a:gradFill>
          <a:gsLst>
            <a:gs pos="0">
              <a:schemeClr val="accent5">
                <a:lumMod val="60000"/>
                <a:lumOff val="40000"/>
              </a:schemeClr>
            </a:gs>
            <a:gs pos="97000">
              <a:srgbClr val="A62C97"/>
            </a:gs>
          </a:gsLst>
          <a:lin ang="3000000" scaled="0"/>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9</xdr:row>
      <xdr:rowOff>119380</xdr:rowOff>
    </xdr:from>
    <xdr:to>
      <xdr:col>13</xdr:col>
      <xdr:colOff>533400</xdr:colOff>
      <xdr:row>10</xdr:row>
      <xdr:rowOff>73660</xdr:rowOff>
    </xdr:to>
    <xdr:sp macro="" textlink="">
      <xdr:nvSpPr>
        <xdr:cNvPr id="32" name="Oval 31">
          <a:extLst>
            <a:ext uri="{FF2B5EF4-FFF2-40B4-BE49-F238E27FC236}">
              <a16:creationId xmlns:a16="http://schemas.microsoft.com/office/drawing/2014/main" id="{989D5B61-15FC-473A-A409-648BA6B2433D}"/>
            </a:ext>
          </a:extLst>
        </xdr:cNvPr>
        <xdr:cNvSpPr/>
      </xdr:nvSpPr>
      <xdr:spPr>
        <a:xfrm>
          <a:off x="8321040" y="1765300"/>
          <a:ext cx="137160" cy="137160"/>
        </a:xfrm>
        <a:prstGeom prst="ellipse">
          <a:avLst/>
        </a:prstGeom>
        <a:gradFill>
          <a:gsLst>
            <a:gs pos="100000">
              <a:srgbClr val="61A7F5"/>
            </a:gs>
            <a:gs pos="0">
              <a:srgbClr val="4077E3"/>
            </a:gs>
          </a:gsLst>
          <a:lin ang="5400000" scaled="1"/>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11</xdr:row>
      <xdr:rowOff>2540</xdr:rowOff>
    </xdr:from>
    <xdr:to>
      <xdr:col>13</xdr:col>
      <xdr:colOff>533400</xdr:colOff>
      <xdr:row>11</xdr:row>
      <xdr:rowOff>139700</xdr:rowOff>
    </xdr:to>
    <xdr:sp macro="" textlink="">
      <xdr:nvSpPr>
        <xdr:cNvPr id="33" name="Oval 32">
          <a:extLst>
            <a:ext uri="{FF2B5EF4-FFF2-40B4-BE49-F238E27FC236}">
              <a16:creationId xmlns:a16="http://schemas.microsoft.com/office/drawing/2014/main" id="{E21146CD-520A-47AD-A932-769511FDBFB0}"/>
            </a:ext>
          </a:extLst>
        </xdr:cNvPr>
        <xdr:cNvSpPr/>
      </xdr:nvSpPr>
      <xdr:spPr>
        <a:xfrm>
          <a:off x="8321040" y="2014220"/>
          <a:ext cx="137160" cy="137160"/>
        </a:xfrm>
        <a:prstGeom prst="ellipse">
          <a:avLst/>
        </a:prstGeom>
        <a:gradFill>
          <a:gsLst>
            <a:gs pos="0">
              <a:srgbClr val="8070E2"/>
            </a:gs>
            <a:gs pos="100000">
              <a:srgbClr val="5A4EBD"/>
            </a:gs>
          </a:gsLst>
          <a:lin ang="5400000" scaled="1"/>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12</xdr:row>
      <xdr:rowOff>68580</xdr:rowOff>
    </xdr:from>
    <xdr:to>
      <xdr:col>13</xdr:col>
      <xdr:colOff>533400</xdr:colOff>
      <xdr:row>13</xdr:row>
      <xdr:rowOff>22860</xdr:rowOff>
    </xdr:to>
    <xdr:sp macro="" textlink="">
      <xdr:nvSpPr>
        <xdr:cNvPr id="34" name="Oval 33">
          <a:extLst>
            <a:ext uri="{FF2B5EF4-FFF2-40B4-BE49-F238E27FC236}">
              <a16:creationId xmlns:a16="http://schemas.microsoft.com/office/drawing/2014/main" id="{EF0BFAFF-DF3F-4BE5-815D-64FAC1CE7684}"/>
            </a:ext>
          </a:extLst>
        </xdr:cNvPr>
        <xdr:cNvSpPr/>
      </xdr:nvSpPr>
      <xdr:spPr>
        <a:xfrm>
          <a:off x="8321040" y="2263140"/>
          <a:ext cx="137160" cy="137160"/>
        </a:xfrm>
        <a:prstGeom prst="ellipse">
          <a:avLst/>
        </a:prstGeom>
        <a:solidFill>
          <a:srgbClr val="49375B"/>
        </a:soli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297180</xdr:colOff>
      <xdr:row>4</xdr:row>
      <xdr:rowOff>68580</xdr:rowOff>
    </xdr:from>
    <xdr:to>
      <xdr:col>16</xdr:col>
      <xdr:colOff>236220</xdr:colOff>
      <xdr:row>7</xdr:row>
      <xdr:rowOff>38100</xdr:rowOff>
    </xdr:to>
    <xdr:sp macro="" textlink="Processing!J1">
      <xdr:nvSpPr>
        <xdr:cNvPr id="35" name="TextBox 34">
          <a:extLst>
            <a:ext uri="{FF2B5EF4-FFF2-40B4-BE49-F238E27FC236}">
              <a16:creationId xmlns:a16="http://schemas.microsoft.com/office/drawing/2014/main" id="{D779B1FA-9A83-4894-89C4-54F979725145}"/>
            </a:ext>
          </a:extLst>
        </xdr:cNvPr>
        <xdr:cNvSpPr txBox="1"/>
      </xdr:nvSpPr>
      <xdr:spPr>
        <a:xfrm>
          <a:off x="8221980" y="800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F317E-6BCC-41D4-9B03-B5200F498A24}"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algn="ctr"/>
            <a:t>Traffic Sources</a:t>
          </a:fld>
          <a:endParaRPr lang="ru-RU" sz="44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17</xdr:col>
      <xdr:colOff>11336</xdr:colOff>
      <xdr:row>22</xdr:row>
      <xdr:rowOff>162436</xdr:rowOff>
    </xdr:from>
    <xdr:to>
      <xdr:col>19</xdr:col>
      <xdr:colOff>350335</xdr:colOff>
      <xdr:row>31</xdr:row>
      <xdr:rowOff>76944</xdr:rowOff>
    </xdr:to>
    <xdr:grpSp>
      <xdr:nvGrpSpPr>
        <xdr:cNvPr id="36" name="Group 35">
          <a:extLst>
            <a:ext uri="{FF2B5EF4-FFF2-40B4-BE49-F238E27FC236}">
              <a16:creationId xmlns:a16="http://schemas.microsoft.com/office/drawing/2014/main" id="{D0404D43-556E-4CDA-ADBC-227B70DB5C3D}"/>
            </a:ext>
          </a:extLst>
        </xdr:cNvPr>
        <xdr:cNvGrpSpPr/>
      </xdr:nvGrpSpPr>
      <xdr:grpSpPr>
        <a:xfrm>
          <a:off x="10374536" y="4353436"/>
          <a:ext cx="1558199" cy="1629008"/>
          <a:chOff x="10374536" y="4039901"/>
          <a:chExt cx="1558199" cy="1554481"/>
        </a:xfrm>
      </xdr:grpSpPr>
      <xdr:cxnSp macro="">
        <xdr:nvCxnSpPr>
          <xdr:cNvPr id="37" name="Straight Connector 36">
            <a:extLst>
              <a:ext uri="{FF2B5EF4-FFF2-40B4-BE49-F238E27FC236}">
                <a16:creationId xmlns:a16="http://schemas.microsoft.com/office/drawing/2014/main" id="{6A19CCC7-3421-288E-A90C-DCD5C14C880A}"/>
              </a:ext>
            </a:extLst>
          </xdr:cNvPr>
          <xdr:cNvCxnSpPr/>
        </xdr:nvCxnSpPr>
        <xdr:spPr>
          <a:xfrm>
            <a:off x="11155494" y="4039901"/>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9F8A108B-50AD-6EFB-6ABC-C5F2FBEB5694}"/>
              </a:ext>
            </a:extLst>
          </xdr:cNvPr>
          <xdr:cNvCxnSpPr/>
        </xdr:nvCxnSpPr>
        <xdr:spPr>
          <a:xfrm rot="16200000">
            <a:off x="11155495" y="4039901"/>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CC00D142-0345-AC38-68D5-F7D99E4E60F3}"/>
              </a:ext>
            </a:extLst>
          </xdr:cNvPr>
          <xdr:cNvCxnSpPr/>
        </xdr:nvCxnSpPr>
        <xdr:spPr>
          <a:xfrm rot="2700000">
            <a:off x="11151776" y="4043620"/>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40" name="Straight Connector 39">
            <a:extLst>
              <a:ext uri="{FF2B5EF4-FFF2-40B4-BE49-F238E27FC236}">
                <a16:creationId xmlns:a16="http://schemas.microsoft.com/office/drawing/2014/main" id="{1E49AD71-0894-325E-8321-DF9A7AF63C0F}"/>
              </a:ext>
            </a:extLst>
          </xdr:cNvPr>
          <xdr:cNvCxnSpPr/>
        </xdr:nvCxnSpPr>
        <xdr:spPr>
          <a:xfrm rot="18900000" flipH="1">
            <a:off x="11151774" y="4039902"/>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304622</xdr:colOff>
      <xdr:row>21</xdr:row>
      <xdr:rowOff>34275</xdr:rowOff>
    </xdr:from>
    <xdr:to>
      <xdr:col>20</xdr:col>
      <xdr:colOff>60782</xdr:colOff>
      <xdr:row>33</xdr:row>
      <xdr:rowOff>43196</xdr:rowOff>
    </xdr:to>
    <xdr:graphicFrame macro="">
      <xdr:nvGraphicFramePr>
        <xdr:cNvPr id="41" name="Chart 40">
          <a:extLst>
            <a:ext uri="{FF2B5EF4-FFF2-40B4-BE49-F238E27FC236}">
              <a16:creationId xmlns:a16="http://schemas.microsoft.com/office/drawing/2014/main" id="{359617CD-3CFE-4D62-AD6B-B394D1C73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18</xdr:row>
      <xdr:rowOff>152400</xdr:rowOff>
    </xdr:from>
    <xdr:to>
      <xdr:col>19</xdr:col>
      <xdr:colOff>434340</xdr:colOff>
      <xdr:row>21</xdr:row>
      <xdr:rowOff>121920</xdr:rowOff>
    </xdr:to>
    <xdr:sp macro="" textlink="Processing!L7">
      <xdr:nvSpPr>
        <xdr:cNvPr id="42" name="TextBox 41">
          <a:extLst>
            <a:ext uri="{FF2B5EF4-FFF2-40B4-BE49-F238E27FC236}">
              <a16:creationId xmlns:a16="http://schemas.microsoft.com/office/drawing/2014/main" id="{F49FF7F5-EAC9-4383-949B-9BE71DC66B42}"/>
            </a:ext>
          </a:extLst>
        </xdr:cNvPr>
        <xdr:cNvSpPr txBox="1"/>
      </xdr:nvSpPr>
      <xdr:spPr>
        <a:xfrm>
          <a:off x="102489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B84F59-3F6B-403C-BD49-0165DBED0218}"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ctr"/>
            <a:t>Coverage</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163612</xdr:colOff>
      <xdr:row>20</xdr:row>
      <xdr:rowOff>114299</xdr:rowOff>
    </xdr:from>
    <xdr:to>
      <xdr:col>16</xdr:col>
      <xdr:colOff>72172</xdr:colOff>
      <xdr:row>33</xdr:row>
      <xdr:rowOff>114299</xdr:rowOff>
    </xdr:to>
    <xdr:graphicFrame macro="">
      <xdr:nvGraphicFramePr>
        <xdr:cNvPr id="43" name="Chart 42">
          <a:extLst>
            <a:ext uri="{FF2B5EF4-FFF2-40B4-BE49-F238E27FC236}">
              <a16:creationId xmlns:a16="http://schemas.microsoft.com/office/drawing/2014/main" id="{A18665A2-D80C-4633-99D8-B32D4F04D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xdr:colOff>
      <xdr:row>19</xdr:row>
      <xdr:rowOff>121920</xdr:rowOff>
    </xdr:from>
    <xdr:to>
      <xdr:col>12</xdr:col>
      <xdr:colOff>274320</xdr:colOff>
      <xdr:row>33</xdr:row>
      <xdr:rowOff>121920</xdr:rowOff>
    </xdr:to>
    <xdr:graphicFrame macro="">
      <xdr:nvGraphicFramePr>
        <xdr:cNvPr id="44" name="Chart 43">
          <a:extLst>
            <a:ext uri="{FF2B5EF4-FFF2-40B4-BE49-F238E27FC236}">
              <a16:creationId xmlns:a16="http://schemas.microsoft.com/office/drawing/2014/main" id="{7ABF9849-7006-4B08-B8DA-F338487D4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152400</xdr:colOff>
      <xdr:row>18</xdr:row>
      <xdr:rowOff>152400</xdr:rowOff>
    </xdr:from>
    <xdr:to>
      <xdr:col>16</xdr:col>
      <xdr:colOff>91440</xdr:colOff>
      <xdr:row>21</xdr:row>
      <xdr:rowOff>121920</xdr:rowOff>
    </xdr:to>
    <xdr:sp macro="" textlink="Processing!Q1">
      <xdr:nvSpPr>
        <xdr:cNvPr id="45" name="TextBox 44">
          <a:extLst>
            <a:ext uri="{FF2B5EF4-FFF2-40B4-BE49-F238E27FC236}">
              <a16:creationId xmlns:a16="http://schemas.microsoft.com/office/drawing/2014/main" id="{F6CBDAD2-2DD0-4E95-BD87-CA8FD312097A}"/>
            </a:ext>
          </a:extLst>
        </xdr:cNvPr>
        <xdr:cNvSpPr txBox="1"/>
      </xdr:nvSpPr>
      <xdr:spPr>
        <a:xfrm>
          <a:off x="80772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ADF-BB5E-4C30-9F21-2092403B10E1}"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ctr"/>
            <a:t>Subscribers</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264322</xdr:colOff>
      <xdr:row>14</xdr:row>
      <xdr:rowOff>114300</xdr:rowOff>
    </xdr:from>
    <xdr:to>
      <xdr:col>12</xdr:col>
      <xdr:colOff>386242</xdr:colOff>
      <xdr:row>17</xdr:row>
      <xdr:rowOff>114300</xdr:rowOff>
    </xdr:to>
    <xdr:graphicFrame macro="">
      <xdr:nvGraphicFramePr>
        <xdr:cNvPr id="46" name="Chart 45">
          <a:extLst>
            <a:ext uri="{FF2B5EF4-FFF2-40B4-BE49-F238E27FC236}">
              <a16:creationId xmlns:a16="http://schemas.microsoft.com/office/drawing/2014/main" id="{C72CDA7E-A0F0-42A3-AE14-744E463DA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161925</xdr:colOff>
          <xdr:row>14</xdr:row>
          <xdr:rowOff>171450</xdr:rowOff>
        </xdr:from>
        <xdr:to>
          <xdr:col>12</xdr:col>
          <xdr:colOff>304800</xdr:colOff>
          <xdr:row>17</xdr:row>
          <xdr:rowOff>9525</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1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152400</xdr:colOff>
      <xdr:row>15</xdr:row>
      <xdr:rowOff>106680</xdr:rowOff>
    </xdr:from>
    <xdr:to>
      <xdr:col>11</xdr:col>
      <xdr:colOff>350520</xdr:colOff>
      <xdr:row>16</xdr:row>
      <xdr:rowOff>99060</xdr:rowOff>
    </xdr:to>
    <xdr:sp macro="" textlink="">
      <xdr:nvSpPr>
        <xdr:cNvPr id="47" name="Rectangle 46">
          <a:extLst>
            <a:ext uri="{FF2B5EF4-FFF2-40B4-BE49-F238E27FC236}">
              <a16:creationId xmlns:a16="http://schemas.microsoft.com/office/drawing/2014/main" id="{3F1BEC95-66EF-4979-BEAD-93F78D0EF9B9}"/>
            </a:ext>
          </a:extLst>
        </xdr:cNvPr>
        <xdr:cNvSpPr/>
      </xdr:nvSpPr>
      <xdr:spPr>
        <a:xfrm>
          <a:off x="6858000" y="2849880"/>
          <a:ext cx="198120" cy="175260"/>
        </a:xfrm>
        <a:prstGeom prst="rect">
          <a:avLst/>
        </a:prstGeom>
        <a:solidFill>
          <a:srgbClr val="4C4D8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6</xdr:col>
      <xdr:colOff>205740</xdr:colOff>
      <xdr:row>14</xdr:row>
      <xdr:rowOff>160020</xdr:rowOff>
    </xdr:from>
    <xdr:to>
      <xdr:col>10</xdr:col>
      <xdr:colOff>152400</xdr:colOff>
      <xdr:row>17</xdr:row>
      <xdr:rowOff>41148</xdr:rowOff>
    </xdr:to>
    <mc:AlternateContent xmlns:mc="http://schemas.openxmlformats.org/markup-compatibility/2006" xmlns:a14="http://schemas.microsoft.com/office/drawing/2010/main">
      <mc:Choice Requires="a14">
        <xdr:graphicFrame macro="">
          <xdr:nvGraphicFramePr>
            <xdr:cNvPr id="48" name="Indicators 1">
              <a:extLst>
                <a:ext uri="{FF2B5EF4-FFF2-40B4-BE49-F238E27FC236}">
                  <a16:creationId xmlns:a16="http://schemas.microsoft.com/office/drawing/2014/main" id="{D32D67F7-4EFC-4CCC-AC72-F456A74DE42C}"/>
                </a:ext>
              </a:extLst>
            </xdr:cNvPr>
            <xdr:cNvGraphicFramePr/>
          </xdr:nvGraphicFramePr>
          <xdr:xfrm>
            <a:off x="0" y="0"/>
            <a:ext cx="0" cy="0"/>
          </xdr:xfrm>
          <a:graphic>
            <a:graphicData uri="http://schemas.microsoft.com/office/drawing/2010/slicer">
              <sle:slicer xmlns:sle="http://schemas.microsoft.com/office/drawing/2010/slicer" name="Indicators 1"/>
            </a:graphicData>
          </a:graphic>
        </xdr:graphicFrame>
      </mc:Choice>
      <mc:Fallback xmlns="">
        <xdr:sp macro="" textlink="">
          <xdr:nvSpPr>
            <xdr:cNvPr id="0" name=""/>
            <xdr:cNvSpPr>
              <a:spLocks noTextEdit="1"/>
            </xdr:cNvSpPr>
          </xdr:nvSpPr>
          <xdr:spPr>
            <a:xfrm>
              <a:off x="3863340" y="2720340"/>
              <a:ext cx="238506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186472</xdr:colOff>
      <xdr:row>32</xdr:row>
      <xdr:rowOff>167640</xdr:rowOff>
    </xdr:from>
    <xdr:to>
      <xdr:col>16</xdr:col>
      <xdr:colOff>49312</xdr:colOff>
      <xdr:row>35</xdr:row>
      <xdr:rowOff>48768</xdr:rowOff>
    </xdr:to>
    <mc:AlternateContent xmlns:mc="http://schemas.openxmlformats.org/markup-compatibility/2006" xmlns:a14="http://schemas.microsoft.com/office/drawing/2010/main">
      <mc:Choice Requires="a14">
        <xdr:graphicFrame macro="">
          <xdr:nvGraphicFramePr>
            <xdr:cNvPr id="49" name="Year 1">
              <a:extLst>
                <a:ext uri="{FF2B5EF4-FFF2-40B4-BE49-F238E27FC236}">
                  <a16:creationId xmlns:a16="http://schemas.microsoft.com/office/drawing/2014/main" id="{48AFC8DA-E06E-4BD8-81CE-6390557CB37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111272" y="6019800"/>
              <a:ext cx="16916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358140</xdr:colOff>
      <xdr:row>32</xdr:row>
      <xdr:rowOff>167640</xdr:rowOff>
    </xdr:from>
    <xdr:to>
      <xdr:col>12</xdr:col>
      <xdr:colOff>236220</xdr:colOff>
      <xdr:row>35</xdr:row>
      <xdr:rowOff>48768</xdr:rowOff>
    </xdr:to>
    <mc:AlternateContent xmlns:mc="http://schemas.openxmlformats.org/markup-compatibility/2006" xmlns:a14="http://schemas.microsoft.com/office/drawing/2010/main">
      <mc:Choice Requires="a14">
        <xdr:graphicFrame macro="">
          <xdr:nvGraphicFramePr>
            <xdr:cNvPr id="50" name="Month 1">
              <a:extLst>
                <a:ext uri="{FF2B5EF4-FFF2-40B4-BE49-F238E27FC236}">
                  <a16:creationId xmlns:a16="http://schemas.microsoft.com/office/drawing/2014/main" id="{D094AAF0-BC48-4552-A628-A5B347EFE0C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796540" y="60198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8</xdr:row>
      <xdr:rowOff>99060</xdr:rowOff>
    </xdr:from>
    <xdr:to>
      <xdr:col>7</xdr:col>
      <xdr:colOff>220980</xdr:colOff>
      <xdr:row>11</xdr:row>
      <xdr:rowOff>68580</xdr:rowOff>
    </xdr:to>
    <xdr:sp macro="" textlink="Processing!Q1">
      <xdr:nvSpPr>
        <xdr:cNvPr id="51" name="TextBox 50">
          <a:extLst>
            <a:ext uri="{FF2B5EF4-FFF2-40B4-BE49-F238E27FC236}">
              <a16:creationId xmlns:a16="http://schemas.microsoft.com/office/drawing/2014/main" id="{9BA0AA7F-0C6A-4766-893D-0E81E9309B9D}"/>
            </a:ext>
          </a:extLst>
        </xdr:cNvPr>
        <xdr:cNvSpPr txBox="1"/>
      </xdr:nvSpPr>
      <xdr:spPr>
        <a:xfrm>
          <a:off x="2720340" y="1562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ABADF-BB5E-4C30-9F21-2092403B10E1}"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Subscribers</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8</xdr:row>
      <xdr:rowOff>99060</xdr:rowOff>
    </xdr:from>
    <xdr:to>
      <xdr:col>10</xdr:col>
      <xdr:colOff>373380</xdr:colOff>
      <xdr:row>11</xdr:row>
      <xdr:rowOff>68580</xdr:rowOff>
    </xdr:to>
    <xdr:sp macro="" textlink="Processing!B2">
      <xdr:nvSpPr>
        <xdr:cNvPr id="53" name="TextBox 52">
          <a:extLst>
            <a:ext uri="{FF2B5EF4-FFF2-40B4-BE49-F238E27FC236}">
              <a16:creationId xmlns:a16="http://schemas.microsoft.com/office/drawing/2014/main" id="{059660CF-EE1D-48D7-87B2-92C6390471B6}"/>
            </a:ext>
          </a:extLst>
        </xdr:cNvPr>
        <xdr:cNvSpPr txBox="1"/>
      </xdr:nvSpPr>
      <xdr:spPr>
        <a:xfrm>
          <a:off x="5372100" y="1562100"/>
          <a:ext cx="10972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Revenue</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79979</xdr:colOff>
      <xdr:row>7</xdr:row>
      <xdr:rowOff>163799</xdr:rowOff>
    </xdr:from>
    <xdr:to>
      <xdr:col>12</xdr:col>
      <xdr:colOff>201899</xdr:colOff>
      <xdr:row>11</xdr:row>
      <xdr:rowOff>163799</xdr:rowOff>
    </xdr:to>
    <xdr:graphicFrame macro="">
      <xdr:nvGraphicFramePr>
        <xdr:cNvPr id="55" name="Chart 54">
          <a:extLst>
            <a:ext uri="{FF2B5EF4-FFF2-40B4-BE49-F238E27FC236}">
              <a16:creationId xmlns:a16="http://schemas.microsoft.com/office/drawing/2014/main" id="{33158100-8A2A-4FC5-BEA3-83F7EE779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121920</xdr:colOff>
      <xdr:row>9</xdr:row>
      <xdr:rowOff>0</xdr:rowOff>
    </xdr:from>
    <xdr:to>
      <xdr:col>12</xdr:col>
      <xdr:colOff>160020</xdr:colOff>
      <xdr:row>10</xdr:row>
      <xdr:rowOff>144780</xdr:rowOff>
    </xdr:to>
    <xdr:sp macro="" textlink="Processing!Q12">
      <xdr:nvSpPr>
        <xdr:cNvPr id="56" name="TextBox 55">
          <a:extLst>
            <a:ext uri="{FF2B5EF4-FFF2-40B4-BE49-F238E27FC236}">
              <a16:creationId xmlns:a16="http://schemas.microsoft.com/office/drawing/2014/main" id="{1E88B663-4A06-468B-A44D-2C7F4F7FA560}"/>
            </a:ext>
          </a:extLst>
        </xdr:cNvPr>
        <xdr:cNvSpPr txBox="1"/>
      </xdr:nvSpPr>
      <xdr:spPr>
        <a:xfrm>
          <a:off x="682752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CDAE6F-69B6-4866-BB6D-4252AC533E3A}"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92%</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10</xdr:col>
      <xdr:colOff>228600</xdr:colOff>
      <xdr:row>9</xdr:row>
      <xdr:rowOff>0</xdr:rowOff>
    </xdr:from>
    <xdr:to>
      <xdr:col>11</xdr:col>
      <xdr:colOff>266700</xdr:colOff>
      <xdr:row>10</xdr:row>
      <xdr:rowOff>144780</xdr:rowOff>
    </xdr:to>
    <xdr:sp macro="" textlink="Processing!P12">
      <xdr:nvSpPr>
        <xdr:cNvPr id="58" name="TextBox 57">
          <a:extLst>
            <a:ext uri="{FF2B5EF4-FFF2-40B4-BE49-F238E27FC236}">
              <a16:creationId xmlns:a16="http://schemas.microsoft.com/office/drawing/2014/main" id="{6A1EF899-B636-4D90-A195-09EF5451CDC9}"/>
            </a:ext>
          </a:extLst>
        </xdr:cNvPr>
        <xdr:cNvSpPr txBox="1"/>
      </xdr:nvSpPr>
      <xdr:spPr>
        <a:xfrm>
          <a:off x="632460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543358-55A4-48F1-B6CD-225A712D7FB0}"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Target</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4</xdr:col>
      <xdr:colOff>22860</xdr:colOff>
      <xdr:row>17</xdr:row>
      <xdr:rowOff>66885</xdr:rowOff>
    </xdr:from>
    <xdr:to>
      <xdr:col>5</xdr:col>
      <xdr:colOff>297180</xdr:colOff>
      <xdr:row>19</xdr:row>
      <xdr:rowOff>55036</xdr:rowOff>
    </xdr:to>
    <xdr:sp macro="" textlink="Processing!C2">
      <xdr:nvSpPr>
        <xdr:cNvPr id="61" name="TextBox 60">
          <a:extLst>
            <a:ext uri="{FF2B5EF4-FFF2-40B4-BE49-F238E27FC236}">
              <a16:creationId xmlns:a16="http://schemas.microsoft.com/office/drawing/2014/main" id="{6C7348D1-C695-7A74-E7DC-448777ACAF98}"/>
            </a:ext>
          </a:extLst>
        </xdr:cNvPr>
        <xdr:cNvSpPr txBox="1"/>
      </xdr:nvSpPr>
      <xdr:spPr>
        <a:xfrm>
          <a:off x="2461260" y="3175845"/>
          <a:ext cx="8839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0751E0A-AB5F-4D38-B3A9-8B6E0E89AAC3}" type="TxLink">
            <a:rPr lang="en-US" sz="1400" b="0" i="0" u="none" strike="noStrike">
              <a:solidFill>
                <a:srgbClr val="E993EB"/>
              </a:solidFill>
              <a:latin typeface="Aptos Narrow"/>
              <a:ea typeface="Verdana" panose="020B0604030504040204" pitchFamily="34" charset="0"/>
              <a:cs typeface="Calibri" panose="020F0502020204030204" pitchFamily="34" charset="0"/>
            </a:rPr>
            <a:pPr marL="0" indent="0" algn="l"/>
            <a:t>Expenses</a:t>
          </a:fld>
          <a:endParaRPr lang="ru-RU" sz="1400" b="0" i="0" u="none" strike="noStrike">
            <a:solidFill>
              <a:srgbClr val="E993EB"/>
            </a:solidFill>
            <a:latin typeface="Aptos Narrow"/>
            <a:ea typeface="Verdana" panose="020B0604030504040204" pitchFamily="34" charset="0"/>
            <a:cs typeface="Calibri" panose="020F0502020204030204" pitchFamily="34" charset="0"/>
          </a:endParaRPr>
        </a:p>
      </xdr:txBody>
    </xdr:sp>
    <xdr:clientData/>
  </xdr:twoCellAnchor>
  <xdr:twoCellAnchor>
    <xdr:from>
      <xdr:col>5</xdr:col>
      <xdr:colOff>160020</xdr:colOff>
      <xdr:row>17</xdr:row>
      <xdr:rowOff>66885</xdr:rowOff>
    </xdr:from>
    <xdr:to>
      <xdr:col>7</xdr:col>
      <xdr:colOff>129540</xdr:colOff>
      <xdr:row>19</xdr:row>
      <xdr:rowOff>55036</xdr:rowOff>
    </xdr:to>
    <xdr:sp macro="" textlink="Processing!F15">
      <xdr:nvSpPr>
        <xdr:cNvPr id="62" name="TextBox 61">
          <a:extLst>
            <a:ext uri="{FF2B5EF4-FFF2-40B4-BE49-F238E27FC236}">
              <a16:creationId xmlns:a16="http://schemas.microsoft.com/office/drawing/2014/main" id="{3480E63A-7D7F-3441-AA2E-8C70AB12E5D7}"/>
            </a:ext>
          </a:extLst>
        </xdr:cNvPr>
        <xdr:cNvSpPr txBox="1"/>
      </xdr:nvSpPr>
      <xdr:spPr>
        <a:xfrm>
          <a:off x="3208020" y="3175845"/>
          <a:ext cx="11887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59DCA7-F501-411A-9FCA-3AF5DDB865D1}" type="TxLink">
            <a:rPr lang="en-US" sz="1400" b="0" i="0" u="none" strike="noStrike">
              <a:solidFill>
                <a:schemeClr val="bg1"/>
              </a:solidFill>
              <a:latin typeface="Aptos Narrow"/>
              <a:ea typeface="Verdana" panose="020B0604030504040204" pitchFamily="34" charset="0"/>
              <a:cs typeface="Calibri" panose="020F0502020204030204" pitchFamily="34" charset="0"/>
            </a:rPr>
            <a:pPr marL="0" indent="0" algn="l"/>
            <a:t> $199,310 </a:t>
          </a:fld>
          <a:endParaRPr lang="ru-RU" sz="14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9</xdr:col>
      <xdr:colOff>586740</xdr:colOff>
      <xdr:row>17</xdr:row>
      <xdr:rowOff>66885</xdr:rowOff>
    </xdr:from>
    <xdr:to>
      <xdr:col>11</xdr:col>
      <xdr:colOff>251460</xdr:colOff>
      <xdr:row>19</xdr:row>
      <xdr:rowOff>55036</xdr:rowOff>
    </xdr:to>
    <xdr:sp macro="" textlink="Processing!B2">
      <xdr:nvSpPr>
        <xdr:cNvPr id="63" name="TextBox 62">
          <a:extLst>
            <a:ext uri="{FF2B5EF4-FFF2-40B4-BE49-F238E27FC236}">
              <a16:creationId xmlns:a16="http://schemas.microsoft.com/office/drawing/2014/main" id="{0DDD3CEB-E49A-FE76-7DC2-4A548D617BBB}"/>
            </a:ext>
          </a:extLst>
        </xdr:cNvPr>
        <xdr:cNvSpPr txBox="1"/>
      </xdr:nvSpPr>
      <xdr:spPr>
        <a:xfrm>
          <a:off x="6073140" y="3175845"/>
          <a:ext cx="8839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1400" b="0" i="0" u="none" strike="noStrike">
              <a:solidFill>
                <a:srgbClr val="00B0F0"/>
              </a:solidFill>
              <a:latin typeface="Aptos Narrow"/>
              <a:ea typeface="Verdana" panose="020B0604030504040204" pitchFamily="34" charset="0"/>
              <a:cs typeface="Calibri" panose="020F0502020204030204" pitchFamily="34" charset="0"/>
            </a:rPr>
            <a:pPr marL="0" indent="0" algn="l"/>
            <a:t>Revenue</a:t>
          </a:fld>
          <a:endParaRPr lang="ru-RU" sz="1400" b="0" i="0" u="none" strike="noStrike">
            <a:solidFill>
              <a:srgbClr val="00B0F0"/>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68580</xdr:colOff>
      <xdr:row>17</xdr:row>
      <xdr:rowOff>66885</xdr:rowOff>
    </xdr:from>
    <xdr:to>
      <xdr:col>12</xdr:col>
      <xdr:colOff>571500</xdr:colOff>
      <xdr:row>19</xdr:row>
      <xdr:rowOff>55036</xdr:rowOff>
    </xdr:to>
    <xdr:sp macro="" textlink="Processing!E15">
      <xdr:nvSpPr>
        <xdr:cNvPr id="6144" name="TextBox 6143">
          <a:extLst>
            <a:ext uri="{FF2B5EF4-FFF2-40B4-BE49-F238E27FC236}">
              <a16:creationId xmlns:a16="http://schemas.microsoft.com/office/drawing/2014/main" id="{BBD21269-E915-4AB3-633B-B5CFCA80A93C}"/>
            </a:ext>
          </a:extLst>
        </xdr:cNvPr>
        <xdr:cNvSpPr txBox="1"/>
      </xdr:nvSpPr>
      <xdr:spPr>
        <a:xfrm>
          <a:off x="6774180" y="3175845"/>
          <a:ext cx="11125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EFF57C3-05C0-470D-A217-ED45FAB05204}" type="TxLink">
            <a:rPr lang="en-US" sz="1400" b="0" i="0" u="none" strike="noStrike">
              <a:solidFill>
                <a:schemeClr val="bg1"/>
              </a:solidFill>
              <a:latin typeface="Aptos Narrow"/>
              <a:ea typeface="Verdana" panose="020B0604030504040204" pitchFamily="34" charset="0"/>
              <a:cs typeface="Calibri" panose="020F0502020204030204" pitchFamily="34" charset="0"/>
            </a:rPr>
            <a:pPr marL="0" indent="0" algn="l"/>
            <a:t> $206,601 </a:t>
          </a:fld>
          <a:endParaRPr lang="ru-RU" sz="14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7</xdr:col>
      <xdr:colOff>236220</xdr:colOff>
      <xdr:row>17</xdr:row>
      <xdr:rowOff>66885</xdr:rowOff>
    </xdr:from>
    <xdr:to>
      <xdr:col>8</xdr:col>
      <xdr:colOff>243840</xdr:colOff>
      <xdr:row>19</xdr:row>
      <xdr:rowOff>55036</xdr:rowOff>
    </xdr:to>
    <xdr:sp macro="" textlink="Processing!D2">
      <xdr:nvSpPr>
        <xdr:cNvPr id="6146" name="TextBox 6145">
          <a:extLst>
            <a:ext uri="{FF2B5EF4-FFF2-40B4-BE49-F238E27FC236}">
              <a16:creationId xmlns:a16="http://schemas.microsoft.com/office/drawing/2014/main" id="{6B6DDCF6-8B27-BC23-0D04-9989DA69F38B}"/>
            </a:ext>
          </a:extLst>
        </xdr:cNvPr>
        <xdr:cNvSpPr txBox="1"/>
      </xdr:nvSpPr>
      <xdr:spPr>
        <a:xfrm>
          <a:off x="4503420" y="3175845"/>
          <a:ext cx="6172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1DB0D43-FFC1-4107-AD22-99787BF30AAE}" type="TxLink">
            <a:rPr lang="en-US" sz="1400" b="0" i="0" u="none" strike="noStrike">
              <a:solidFill>
                <a:srgbClr val="01F3FF"/>
              </a:solidFill>
              <a:latin typeface="Aptos Narrow"/>
              <a:ea typeface="Verdana" panose="020B0604030504040204" pitchFamily="34" charset="0"/>
              <a:cs typeface="Calibri" panose="020F0502020204030204" pitchFamily="34" charset="0"/>
            </a:rPr>
            <a:pPr marL="0" indent="0" algn="l"/>
            <a:t>Profit</a:t>
          </a:fld>
          <a:endParaRPr lang="ru-RU" sz="1800" b="0" i="0" u="none" strike="noStrike">
            <a:solidFill>
              <a:srgbClr val="01F3FF"/>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83820</xdr:colOff>
      <xdr:row>17</xdr:row>
      <xdr:rowOff>66885</xdr:rowOff>
    </xdr:from>
    <xdr:to>
      <xdr:col>10</xdr:col>
      <xdr:colOff>22860</xdr:colOff>
      <xdr:row>19</xdr:row>
      <xdr:rowOff>55036</xdr:rowOff>
    </xdr:to>
    <xdr:sp macro="" textlink="Processing!G15">
      <xdr:nvSpPr>
        <xdr:cNvPr id="6147" name="TextBox 6146">
          <a:extLst>
            <a:ext uri="{FF2B5EF4-FFF2-40B4-BE49-F238E27FC236}">
              <a16:creationId xmlns:a16="http://schemas.microsoft.com/office/drawing/2014/main" id="{CDB559E9-633E-125E-D008-5D6D8E58AB17}"/>
            </a:ext>
          </a:extLst>
        </xdr:cNvPr>
        <xdr:cNvSpPr txBox="1"/>
      </xdr:nvSpPr>
      <xdr:spPr>
        <a:xfrm>
          <a:off x="4960620" y="3175845"/>
          <a:ext cx="115824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C575237-9BC6-4014-8D3D-ED5ADD4815D1}" type="TxLink">
            <a:rPr lang="en-US" sz="1400" b="0" i="0" u="none" strike="noStrike">
              <a:solidFill>
                <a:schemeClr val="bg1"/>
              </a:solidFill>
              <a:latin typeface="Aptos Narrow"/>
              <a:ea typeface="Verdana" panose="020B0604030504040204" pitchFamily="34" charset="0"/>
              <a:cs typeface="Calibri" panose="020F0502020204030204" pitchFamily="34" charset="0"/>
            </a:rPr>
            <a:pPr marL="0" indent="0" algn="l"/>
            <a:t> $7,291 </a:t>
          </a:fld>
          <a:endParaRPr lang="ru-RU" sz="14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236220</xdr:colOff>
      <xdr:row>4</xdr:row>
      <xdr:rowOff>137160</xdr:rowOff>
    </xdr:from>
    <xdr:to>
      <xdr:col>12</xdr:col>
      <xdr:colOff>327660</xdr:colOff>
      <xdr:row>11</xdr:row>
      <xdr:rowOff>175260</xdr:rowOff>
    </xdr:to>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79883C2C-F659-4199-82D4-EF7CDFCA1163}"/>
            </a:ext>
          </a:extLst>
        </xdr:cNvPr>
        <xdr:cNvSpPr/>
      </xdr:nvSpPr>
      <xdr:spPr>
        <a:xfrm>
          <a:off x="5113020" y="868680"/>
          <a:ext cx="252984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99060</xdr:colOff>
      <xdr:row>4</xdr:row>
      <xdr:rowOff>0</xdr:rowOff>
    </xdr:from>
    <xdr:to>
      <xdr:col>19</xdr:col>
      <xdr:colOff>594360</xdr:colOff>
      <xdr:row>17</xdr:row>
      <xdr:rowOff>83820</xdr:rowOff>
    </xdr:to>
    <xdr:sp macro="" textlink="">
      <xdr:nvSpPr>
        <xdr:cNvPr id="11" name="Rectangle: Rounded Corners 10">
          <a:hlinkClick xmlns:r="http://schemas.openxmlformats.org/officeDocument/2006/relationships" r:id="rId8"/>
          <a:extLst>
            <a:ext uri="{FF2B5EF4-FFF2-40B4-BE49-F238E27FC236}">
              <a16:creationId xmlns:a16="http://schemas.microsoft.com/office/drawing/2014/main" id="{3840C58F-C55C-4ED8-8596-FCFF9C10C7F0}"/>
            </a:ext>
          </a:extLst>
        </xdr:cNvPr>
        <xdr:cNvSpPr/>
      </xdr:nvSpPr>
      <xdr:spPr>
        <a:xfrm>
          <a:off x="8023860" y="731520"/>
          <a:ext cx="4152900" cy="2461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83820</xdr:colOff>
      <xdr:row>18</xdr:row>
      <xdr:rowOff>99060</xdr:rowOff>
    </xdr:from>
    <xdr:to>
      <xdr:col>16</xdr:col>
      <xdr:colOff>106680</xdr:colOff>
      <xdr:row>32</xdr:row>
      <xdr:rowOff>99060</xdr:rowOff>
    </xdr:to>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F5A2C829-C483-4438-A01F-8C150F513734}"/>
            </a:ext>
          </a:extLst>
        </xdr:cNvPr>
        <xdr:cNvSpPr/>
      </xdr:nvSpPr>
      <xdr:spPr>
        <a:xfrm>
          <a:off x="8008620" y="3390900"/>
          <a:ext cx="1851660" cy="25603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320040</xdr:colOff>
      <xdr:row>18</xdr:row>
      <xdr:rowOff>99060</xdr:rowOff>
    </xdr:from>
    <xdr:to>
      <xdr:col>20</xdr:col>
      <xdr:colOff>0</xdr:colOff>
      <xdr:row>35</xdr:row>
      <xdr:rowOff>129540</xdr:rowOff>
    </xdr:to>
    <xdr:sp macro="" textlink="">
      <xdr:nvSpPr>
        <xdr:cNvPr id="23" name="Rectangle: Rounded Corners 22">
          <a:hlinkClick xmlns:r="http://schemas.openxmlformats.org/officeDocument/2006/relationships" r:id="rId10"/>
          <a:extLst>
            <a:ext uri="{FF2B5EF4-FFF2-40B4-BE49-F238E27FC236}">
              <a16:creationId xmlns:a16="http://schemas.microsoft.com/office/drawing/2014/main" id="{B9501974-7CBD-442D-AA0A-DCD6617DC8F1}"/>
            </a:ext>
          </a:extLst>
        </xdr:cNvPr>
        <xdr:cNvSpPr/>
      </xdr:nvSpPr>
      <xdr:spPr>
        <a:xfrm>
          <a:off x="10073640" y="3390900"/>
          <a:ext cx="2118360" cy="313944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60960</xdr:colOff>
      <xdr:row>4</xdr:row>
      <xdr:rowOff>137160</xdr:rowOff>
    </xdr:from>
    <xdr:to>
      <xdr:col>7</xdr:col>
      <xdr:colOff>388620</xdr:colOff>
      <xdr:row>11</xdr:row>
      <xdr:rowOff>175260</xdr:rowOff>
    </xdr:to>
    <xdr:sp macro="" textlink="">
      <xdr:nvSpPr>
        <xdr:cNvPr id="24" name="Rectangle: Rounded Corners 23">
          <a:hlinkClick xmlns:r="http://schemas.openxmlformats.org/officeDocument/2006/relationships" r:id="rId7"/>
          <a:extLst>
            <a:ext uri="{FF2B5EF4-FFF2-40B4-BE49-F238E27FC236}">
              <a16:creationId xmlns:a16="http://schemas.microsoft.com/office/drawing/2014/main" id="{E01406FE-72AC-0E6E-6C58-45090BE6171A}"/>
            </a:ext>
          </a:extLst>
        </xdr:cNvPr>
        <xdr:cNvSpPr/>
      </xdr:nvSpPr>
      <xdr:spPr>
        <a:xfrm>
          <a:off x="2499360" y="868680"/>
          <a:ext cx="215646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158639</xdr:colOff>
      <xdr:row>4</xdr:row>
      <xdr:rowOff>71505</xdr:rowOff>
    </xdr:from>
    <xdr:to>
      <xdr:col>0</xdr:col>
      <xdr:colOff>432959</xdr:colOff>
      <xdr:row>5</xdr:row>
      <xdr:rowOff>143053</xdr:rowOff>
    </xdr:to>
    <xdr:grpSp>
      <xdr:nvGrpSpPr>
        <xdr:cNvPr id="52" name="Group 51">
          <a:hlinkClick xmlns:r="http://schemas.openxmlformats.org/officeDocument/2006/relationships" r:id="rId11"/>
          <a:extLst>
            <a:ext uri="{FF2B5EF4-FFF2-40B4-BE49-F238E27FC236}">
              <a16:creationId xmlns:a16="http://schemas.microsoft.com/office/drawing/2014/main" id="{7F6901AF-E054-5EED-47C3-F61FF39719EC}"/>
            </a:ext>
          </a:extLst>
        </xdr:cNvPr>
        <xdr:cNvGrpSpPr/>
      </xdr:nvGrpSpPr>
      <xdr:grpSpPr>
        <a:xfrm>
          <a:off x="158639" y="833505"/>
          <a:ext cx="274320" cy="262048"/>
          <a:chOff x="2657199" y="8924774"/>
          <a:chExt cx="796566" cy="720791"/>
        </a:xfrm>
      </xdr:grpSpPr>
      <xdr:sp macro="" textlink="">
        <xdr:nvSpPr>
          <xdr:cNvPr id="60" name="Freeform: Shape 59">
            <a:extLst>
              <a:ext uri="{FF2B5EF4-FFF2-40B4-BE49-F238E27FC236}">
                <a16:creationId xmlns:a16="http://schemas.microsoft.com/office/drawing/2014/main" id="{AC2B9BD2-8472-2AFA-EF00-02D3C1EA6609}"/>
              </a:ext>
            </a:extLst>
          </xdr:cNvPr>
          <xdr:cNvSpPr/>
        </xdr:nvSpPr>
        <xdr:spPr>
          <a:xfrm>
            <a:off x="3139440" y="8924774"/>
            <a:ext cx="38100" cy="115904"/>
          </a:xfrm>
          <a:custGeom>
            <a:avLst/>
            <a:gdLst>
              <a:gd name="connsiteX0" fmla="*/ 0 w 38100"/>
              <a:gd name="connsiteY0" fmla="*/ 0 h 114300"/>
              <a:gd name="connsiteX1" fmla="*/ 38100 w 38100"/>
              <a:gd name="connsiteY1" fmla="*/ 0 h 114300"/>
              <a:gd name="connsiteX2" fmla="*/ 38100 w 38100"/>
              <a:gd name="connsiteY2" fmla="*/ 114300 h 114300"/>
              <a:gd name="connsiteX3" fmla="*/ 0 w 38100"/>
              <a:gd name="connsiteY3" fmla="*/ 114300 h 114300"/>
            </a:gdLst>
            <a:ahLst/>
            <a:cxnLst>
              <a:cxn ang="0">
                <a:pos x="connsiteX0" y="connsiteY0"/>
              </a:cxn>
              <a:cxn ang="0">
                <a:pos x="connsiteX1" y="connsiteY1"/>
              </a:cxn>
              <a:cxn ang="0">
                <a:pos x="connsiteX2" y="connsiteY2"/>
              </a:cxn>
              <a:cxn ang="0">
                <a:pos x="connsiteX3" y="connsiteY3"/>
              </a:cxn>
            </a:cxnLst>
            <a:rect l="l" t="t" r="r" b="b"/>
            <a:pathLst>
              <a:path w="38100" h="114300">
                <a:moveTo>
                  <a:pt x="0" y="0"/>
                </a:moveTo>
                <a:lnTo>
                  <a:pt x="38100" y="0"/>
                </a:lnTo>
                <a:lnTo>
                  <a:pt x="38100" y="114300"/>
                </a:lnTo>
                <a:lnTo>
                  <a:pt x="0" y="114300"/>
                </a:lnTo>
                <a:close/>
              </a:path>
            </a:pathLst>
          </a:custGeom>
          <a:solidFill>
            <a:srgbClr val="E993EB"/>
          </a:solidFill>
          <a:ln w="9525" cap="flat">
            <a:noFill/>
            <a:prstDash val="solid"/>
            <a:miter/>
          </a:ln>
        </xdr:spPr>
        <xdr:txBody>
          <a:bodyPr rtlCol="0" anchor="ctr"/>
          <a:lstStyle/>
          <a:p>
            <a:endParaRPr lang="ru-RU"/>
          </a:p>
        </xdr:txBody>
      </xdr:sp>
      <xdr:sp macro="" textlink="">
        <xdr:nvSpPr>
          <xdr:cNvPr id="6148" name="Freeform: Shape 6147">
            <a:extLst>
              <a:ext uri="{FF2B5EF4-FFF2-40B4-BE49-F238E27FC236}">
                <a16:creationId xmlns:a16="http://schemas.microsoft.com/office/drawing/2014/main" id="{8F38381B-7F43-2B5D-24C2-AD8AEBB706E0}"/>
              </a:ext>
            </a:extLst>
          </xdr:cNvPr>
          <xdr:cNvSpPr/>
        </xdr:nvSpPr>
        <xdr:spPr>
          <a:xfrm rot="8100000">
            <a:off x="3270350" y="9032599"/>
            <a:ext cx="114298" cy="39703"/>
          </a:xfrm>
          <a:custGeom>
            <a:avLst/>
            <a:gdLst>
              <a:gd name="connsiteX0" fmla="*/ 0 w 114298"/>
              <a:gd name="connsiteY0" fmla="*/ 0 h 38099"/>
              <a:gd name="connsiteX1" fmla="*/ 114299 w 114298"/>
              <a:gd name="connsiteY1" fmla="*/ 0 h 38099"/>
              <a:gd name="connsiteX2" fmla="*/ 114299 w 114298"/>
              <a:gd name="connsiteY2" fmla="*/ 38100 h 38099"/>
              <a:gd name="connsiteX3" fmla="*/ 0 w 114298"/>
              <a:gd name="connsiteY3" fmla="*/ 38100 h 38099"/>
            </a:gdLst>
            <a:ahLst/>
            <a:cxnLst>
              <a:cxn ang="0">
                <a:pos x="connsiteX0" y="connsiteY0"/>
              </a:cxn>
              <a:cxn ang="0">
                <a:pos x="connsiteX1" y="connsiteY1"/>
              </a:cxn>
              <a:cxn ang="0">
                <a:pos x="connsiteX2" y="connsiteY2"/>
              </a:cxn>
              <a:cxn ang="0">
                <a:pos x="connsiteX3" y="connsiteY3"/>
              </a:cxn>
            </a:cxnLst>
            <a:rect l="l" t="t" r="r" b="b"/>
            <a:pathLst>
              <a:path w="114298" h="38099">
                <a:moveTo>
                  <a:pt x="0" y="0"/>
                </a:moveTo>
                <a:lnTo>
                  <a:pt x="114299" y="0"/>
                </a:lnTo>
                <a:lnTo>
                  <a:pt x="114299"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6149" name="Freeform: Shape 6148">
            <a:extLst>
              <a:ext uri="{FF2B5EF4-FFF2-40B4-BE49-F238E27FC236}">
                <a16:creationId xmlns:a16="http://schemas.microsoft.com/office/drawing/2014/main" id="{B20EBB2C-09BF-43DE-24AF-E2064F6B00CE}"/>
              </a:ext>
            </a:extLst>
          </xdr:cNvPr>
          <xdr:cNvSpPr/>
        </xdr:nvSpPr>
        <xdr:spPr>
          <a:xfrm>
            <a:off x="3339465" y="9202603"/>
            <a:ext cx="114300" cy="39705"/>
          </a:xfrm>
          <a:custGeom>
            <a:avLst/>
            <a:gdLst>
              <a:gd name="connsiteX0" fmla="*/ 0 w 114300"/>
              <a:gd name="connsiteY0" fmla="*/ 0 h 38100"/>
              <a:gd name="connsiteX1" fmla="*/ 114300 w 114300"/>
              <a:gd name="connsiteY1" fmla="*/ 0 h 38100"/>
              <a:gd name="connsiteX2" fmla="*/ 114300 w 114300"/>
              <a:gd name="connsiteY2" fmla="*/ 38100 h 38100"/>
              <a:gd name="connsiteX3" fmla="*/ 0 w 114300"/>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300"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6150" name="Freeform: Shape 6149">
            <a:extLst>
              <a:ext uri="{FF2B5EF4-FFF2-40B4-BE49-F238E27FC236}">
                <a16:creationId xmlns:a16="http://schemas.microsoft.com/office/drawing/2014/main" id="{D04E8810-33CE-6C2D-1F6E-A9EE0F19F419}"/>
              </a:ext>
            </a:extLst>
          </xdr:cNvPr>
          <xdr:cNvSpPr/>
        </xdr:nvSpPr>
        <xdr:spPr>
          <a:xfrm rot="8100000">
            <a:off x="3308256" y="9334274"/>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6151" name="Freeform: Shape 6150">
            <a:extLst>
              <a:ext uri="{FF2B5EF4-FFF2-40B4-BE49-F238E27FC236}">
                <a16:creationId xmlns:a16="http://schemas.microsoft.com/office/drawing/2014/main" id="{7F493C14-BB54-E22E-C6D6-C60BCC6BE90A}"/>
              </a:ext>
            </a:extLst>
          </xdr:cNvPr>
          <xdr:cNvSpPr/>
        </xdr:nvSpPr>
        <xdr:spPr>
          <a:xfrm>
            <a:off x="2863215" y="9202603"/>
            <a:ext cx="114299" cy="39705"/>
          </a:xfrm>
          <a:custGeom>
            <a:avLst/>
            <a:gdLst>
              <a:gd name="connsiteX0" fmla="*/ 0 w 114299"/>
              <a:gd name="connsiteY0" fmla="*/ 0 h 38100"/>
              <a:gd name="connsiteX1" fmla="*/ 114300 w 114299"/>
              <a:gd name="connsiteY1" fmla="*/ 0 h 38100"/>
              <a:gd name="connsiteX2" fmla="*/ 114300 w 114299"/>
              <a:gd name="connsiteY2" fmla="*/ 38100 h 38100"/>
              <a:gd name="connsiteX3" fmla="*/ 0 w 114299"/>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299"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6152" name="Freeform: Shape 6151">
            <a:extLst>
              <a:ext uri="{FF2B5EF4-FFF2-40B4-BE49-F238E27FC236}">
                <a16:creationId xmlns:a16="http://schemas.microsoft.com/office/drawing/2014/main" id="{ABC90868-2D1F-3D8B-F154-607B4FAF30AA}"/>
              </a:ext>
            </a:extLst>
          </xdr:cNvPr>
          <xdr:cNvSpPr/>
        </xdr:nvSpPr>
        <xdr:spPr>
          <a:xfrm rot="8100000">
            <a:off x="2971204" y="8994981"/>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6153" name="Freeform: Shape 6152">
            <a:extLst>
              <a:ext uri="{FF2B5EF4-FFF2-40B4-BE49-F238E27FC236}">
                <a16:creationId xmlns:a16="http://schemas.microsoft.com/office/drawing/2014/main" id="{05C5B2C3-6B11-8DF0-1085-ECCB70B11776}"/>
              </a:ext>
            </a:extLst>
          </xdr:cNvPr>
          <xdr:cNvSpPr/>
        </xdr:nvSpPr>
        <xdr:spPr>
          <a:xfrm>
            <a:off x="2657199" y="9280147"/>
            <a:ext cx="651850" cy="365418"/>
          </a:xfrm>
          <a:custGeom>
            <a:avLst/>
            <a:gdLst>
              <a:gd name="connsiteX0" fmla="*/ 558440 w 651850"/>
              <a:gd name="connsiteY0" fmla="*/ 181236 h 362210"/>
              <a:gd name="connsiteX1" fmla="*/ 544153 w 651850"/>
              <a:gd name="connsiteY1" fmla="*/ 182188 h 362210"/>
              <a:gd name="connsiteX2" fmla="*/ 544153 w 651850"/>
              <a:gd name="connsiteY2" fmla="*/ 181236 h 362210"/>
              <a:gd name="connsiteX3" fmla="*/ 496528 w 651850"/>
              <a:gd name="connsiteY3" fmla="*/ 88843 h 362210"/>
              <a:gd name="connsiteX4" fmla="*/ 393658 w 651850"/>
              <a:gd name="connsiteY4" fmla="*/ 72651 h 362210"/>
              <a:gd name="connsiteX5" fmla="*/ 239353 w 651850"/>
              <a:gd name="connsiteY5" fmla="*/ 4071 h 362210"/>
              <a:gd name="connsiteX6" fmla="*/ 133625 w 651850"/>
              <a:gd name="connsiteY6" fmla="*/ 135516 h 362210"/>
              <a:gd name="connsiteX7" fmla="*/ 24088 w 651850"/>
              <a:gd name="connsiteY7" fmla="*/ 176473 h 362210"/>
              <a:gd name="connsiteX8" fmla="*/ 9800 w 651850"/>
              <a:gd name="connsiteY8" fmla="*/ 293631 h 362210"/>
              <a:gd name="connsiteX9" fmla="*/ 106955 w 651850"/>
              <a:gd name="connsiteY9" fmla="*/ 361258 h 362210"/>
              <a:gd name="connsiteX10" fmla="*/ 564155 w 651850"/>
              <a:gd name="connsiteY10" fmla="*/ 362211 h 362210"/>
              <a:gd name="connsiteX11" fmla="*/ 651785 w 651850"/>
              <a:gd name="connsiteY11" fmla="*/ 268866 h 362210"/>
              <a:gd name="connsiteX12" fmla="*/ 558440 w 651850"/>
              <a:gd name="connsiteY12" fmla="*/ 181236 h 362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51850" h="362210">
                <a:moveTo>
                  <a:pt x="558440" y="181236"/>
                </a:moveTo>
                <a:cubicBezTo>
                  <a:pt x="553678" y="181236"/>
                  <a:pt x="548915" y="181236"/>
                  <a:pt x="544153" y="182188"/>
                </a:cubicBezTo>
                <a:cubicBezTo>
                  <a:pt x="544153" y="182188"/>
                  <a:pt x="544153" y="181236"/>
                  <a:pt x="544153" y="181236"/>
                </a:cubicBezTo>
                <a:cubicBezTo>
                  <a:pt x="544153" y="145041"/>
                  <a:pt x="527008" y="109798"/>
                  <a:pt x="496528" y="88843"/>
                </a:cubicBezTo>
                <a:cubicBezTo>
                  <a:pt x="467000" y="66936"/>
                  <a:pt x="428900" y="61221"/>
                  <a:pt x="393658" y="72651"/>
                </a:cubicBezTo>
                <a:cubicBezTo>
                  <a:pt x="364130" y="17406"/>
                  <a:pt x="300313" y="-11169"/>
                  <a:pt x="239353" y="4071"/>
                </a:cubicBezTo>
                <a:cubicBezTo>
                  <a:pt x="178393" y="18358"/>
                  <a:pt x="135530" y="72651"/>
                  <a:pt x="133625" y="135516"/>
                </a:cubicBezTo>
                <a:cubicBezTo>
                  <a:pt x="93620" y="127896"/>
                  <a:pt x="50758" y="143136"/>
                  <a:pt x="24088" y="176473"/>
                </a:cubicBezTo>
                <a:cubicBezTo>
                  <a:pt x="-1630" y="209811"/>
                  <a:pt x="-7345" y="255531"/>
                  <a:pt x="9800" y="293631"/>
                </a:cubicBezTo>
                <a:cubicBezTo>
                  <a:pt x="26945" y="332683"/>
                  <a:pt x="64093" y="358401"/>
                  <a:pt x="106955" y="361258"/>
                </a:cubicBezTo>
                <a:lnTo>
                  <a:pt x="564155" y="362211"/>
                </a:lnTo>
                <a:cubicBezTo>
                  <a:pt x="613685" y="361258"/>
                  <a:pt x="653690" y="319348"/>
                  <a:pt x="651785" y="268866"/>
                </a:cubicBezTo>
                <a:cubicBezTo>
                  <a:pt x="650833" y="219336"/>
                  <a:pt x="608923" y="180283"/>
                  <a:pt x="558440" y="181236"/>
                </a:cubicBezTo>
                <a:close/>
              </a:path>
            </a:pathLst>
          </a:custGeom>
          <a:solidFill>
            <a:schemeClr val="bg1">
              <a:lumMod val="95000"/>
            </a:schemeClr>
          </a:solidFill>
          <a:ln w="9525" cap="flat">
            <a:noFill/>
            <a:prstDash val="solid"/>
            <a:miter/>
          </a:ln>
        </xdr:spPr>
        <xdr:txBody>
          <a:bodyPr rtlCol="0" anchor="ctr"/>
          <a:lstStyle/>
          <a:p>
            <a:endParaRPr lang="ru-RU"/>
          </a:p>
        </xdr:txBody>
      </xdr:sp>
      <xdr:sp macro="" textlink="">
        <xdr:nvSpPr>
          <xdr:cNvPr id="6154" name="Freeform: Shape 6153">
            <a:extLst>
              <a:ext uri="{FF2B5EF4-FFF2-40B4-BE49-F238E27FC236}">
                <a16:creationId xmlns:a16="http://schemas.microsoft.com/office/drawing/2014/main" id="{9F299FFF-20D0-C478-C2AB-06EB922C59B6}"/>
              </a:ext>
            </a:extLst>
          </xdr:cNvPr>
          <xdr:cNvSpPr/>
        </xdr:nvSpPr>
        <xdr:spPr>
          <a:xfrm>
            <a:off x="3015943" y="9078229"/>
            <a:ext cx="284955" cy="281236"/>
          </a:xfrm>
          <a:custGeom>
            <a:avLst/>
            <a:gdLst>
              <a:gd name="connsiteX0" fmla="*/ 7291 w 284955"/>
              <a:gd name="connsiteY0" fmla="*/ 189144 h 279631"/>
              <a:gd name="connsiteX1" fmla="*/ 53011 w 284955"/>
              <a:gd name="connsiteY1" fmla="*/ 230102 h 279631"/>
              <a:gd name="connsiteX2" fmla="*/ 184456 w 284955"/>
              <a:gd name="connsiteY2" fmla="*/ 279632 h 279631"/>
              <a:gd name="connsiteX3" fmla="*/ 284469 w 284955"/>
              <a:gd name="connsiteY3" fmla="*/ 155807 h 279631"/>
              <a:gd name="connsiteX4" fmla="*/ 207316 w 284955"/>
              <a:gd name="connsiteY4" fmla="*/ 15789 h 279631"/>
              <a:gd name="connsiteX5" fmla="*/ 49201 w 284955"/>
              <a:gd name="connsiteY5" fmla="*/ 34839 h 279631"/>
              <a:gd name="connsiteX6" fmla="*/ 7291 w 284955"/>
              <a:gd name="connsiteY6" fmla="*/ 189144 h 279631"/>
              <a:gd name="connsiteX7" fmla="*/ 7291 w 284955"/>
              <a:gd name="connsiteY7" fmla="*/ 189144 h 2796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4955" h="279631">
                <a:moveTo>
                  <a:pt x="7291" y="189144"/>
                </a:moveTo>
                <a:cubicBezTo>
                  <a:pt x="24436" y="199622"/>
                  <a:pt x="40629" y="213909"/>
                  <a:pt x="53011" y="230102"/>
                </a:cubicBezTo>
                <a:cubicBezTo>
                  <a:pt x="102541" y="224387"/>
                  <a:pt x="151119" y="242484"/>
                  <a:pt x="184456" y="279632"/>
                </a:cubicBezTo>
                <a:cubicBezTo>
                  <a:pt x="239701" y="262487"/>
                  <a:pt x="279706" y="213909"/>
                  <a:pt x="284469" y="155807"/>
                </a:cubicBezTo>
                <a:cubicBezTo>
                  <a:pt x="289231" y="97704"/>
                  <a:pt x="258751" y="42459"/>
                  <a:pt x="207316" y="15789"/>
                </a:cubicBezTo>
                <a:cubicBezTo>
                  <a:pt x="155881" y="-10881"/>
                  <a:pt x="93016" y="-3261"/>
                  <a:pt x="49201" y="34839"/>
                </a:cubicBezTo>
                <a:cubicBezTo>
                  <a:pt x="5386" y="72939"/>
                  <a:pt x="-10806" y="133899"/>
                  <a:pt x="7291" y="189144"/>
                </a:cubicBezTo>
                <a:lnTo>
                  <a:pt x="7291" y="189144"/>
                </a:lnTo>
                <a:close/>
              </a:path>
            </a:pathLst>
          </a:custGeom>
          <a:solidFill>
            <a:srgbClr val="E993EB"/>
          </a:solidFill>
          <a:ln w="9525" cap="flat">
            <a:noFill/>
            <a:prstDash val="solid"/>
            <a:miter/>
          </a:ln>
        </xdr:spPr>
        <xdr:txBody>
          <a:bodyPr rtlCol="0" anchor="ctr"/>
          <a:lstStyle/>
          <a:p>
            <a:endParaRPr lang="ru-RU"/>
          </a:p>
        </xdr:txBody>
      </xdr:sp>
    </xdr:grpSp>
    <xdr:clientData/>
  </xdr:twoCellAnchor>
  <xdr:twoCellAnchor>
    <xdr:from>
      <xdr:col>0</xdr:col>
      <xdr:colOff>152400</xdr:colOff>
      <xdr:row>6</xdr:row>
      <xdr:rowOff>123118</xdr:rowOff>
    </xdr:from>
    <xdr:to>
      <xdr:col>0</xdr:col>
      <xdr:colOff>426720</xdr:colOff>
      <xdr:row>8</xdr:row>
      <xdr:rowOff>30876</xdr:rowOff>
    </xdr:to>
    <xdr:pic>
      <xdr:nvPicPr>
        <xdr:cNvPr id="54" name="Graphic 53" descr="Moon and stars with solid fill">
          <a:extLst>
            <a:ext uri="{FF2B5EF4-FFF2-40B4-BE49-F238E27FC236}">
              <a16:creationId xmlns:a16="http://schemas.microsoft.com/office/drawing/2014/main" id="{1F467E13-A5AC-B70F-4385-B1C874FA679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2400" y="1220398"/>
          <a:ext cx="274320" cy="273518"/>
        </a:xfrm>
        <a:prstGeom prst="rect">
          <a:avLst/>
        </a:prstGeom>
      </xdr:spPr>
    </xdr:pic>
    <xdr:clientData/>
  </xdr:twoCellAnchor>
  <xdr:twoCellAnchor>
    <xdr:from>
      <xdr:col>0</xdr:col>
      <xdr:colOff>183687</xdr:colOff>
      <xdr:row>2</xdr:row>
      <xdr:rowOff>0</xdr:rowOff>
    </xdr:from>
    <xdr:to>
      <xdr:col>0</xdr:col>
      <xdr:colOff>458007</xdr:colOff>
      <xdr:row>3</xdr:row>
      <xdr:rowOff>91440</xdr:rowOff>
    </xdr:to>
    <xdr:pic>
      <xdr:nvPicPr>
        <xdr:cNvPr id="57" name="Graphic 56" descr="Sun with solid fill">
          <a:hlinkClick xmlns:r="http://schemas.openxmlformats.org/officeDocument/2006/relationships" r:id="rId14"/>
          <a:extLst>
            <a:ext uri="{FF2B5EF4-FFF2-40B4-BE49-F238E27FC236}">
              <a16:creationId xmlns:a16="http://schemas.microsoft.com/office/drawing/2014/main" id="{E28E001E-BEED-A2DB-88A5-BDECA816C85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83687" y="365760"/>
          <a:ext cx="274320" cy="2743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0</xdr:row>
      <xdr:rowOff>0</xdr:rowOff>
    </xdr:from>
    <xdr:to>
      <xdr:col>24</xdr:col>
      <xdr:colOff>7620</xdr:colOff>
      <xdr:row>45</xdr:row>
      <xdr:rowOff>0</xdr:rowOff>
    </xdr:to>
    <xdr:grpSp>
      <xdr:nvGrpSpPr>
        <xdr:cNvPr id="2" name="Group 1">
          <a:extLst>
            <a:ext uri="{FF2B5EF4-FFF2-40B4-BE49-F238E27FC236}">
              <a16:creationId xmlns:a16="http://schemas.microsoft.com/office/drawing/2014/main" id="{57C668AF-BF76-44CF-9998-8903EF1EB996}"/>
            </a:ext>
          </a:extLst>
        </xdr:cNvPr>
        <xdr:cNvGrpSpPr/>
      </xdr:nvGrpSpPr>
      <xdr:grpSpPr>
        <a:xfrm>
          <a:off x="7620" y="0"/>
          <a:ext cx="14630400" cy="8572500"/>
          <a:chOff x="172844" y="6858000"/>
          <a:chExt cx="11850624" cy="7235580"/>
        </a:xfrm>
      </xdr:grpSpPr>
      <xdr:sp macro="" textlink="">
        <xdr:nvSpPr>
          <xdr:cNvPr id="3" name="Rectangle 2">
            <a:extLst>
              <a:ext uri="{FF2B5EF4-FFF2-40B4-BE49-F238E27FC236}">
                <a16:creationId xmlns:a16="http://schemas.microsoft.com/office/drawing/2014/main" id="{265B2278-0672-9A4F-E2F0-A096244A433B}"/>
              </a:ext>
            </a:extLst>
          </xdr:cNvPr>
          <xdr:cNvSpPr/>
        </xdr:nvSpPr>
        <xdr:spPr>
          <a:xfrm>
            <a:off x="172844" y="6858000"/>
            <a:ext cx="11846312" cy="7235580"/>
          </a:xfrm>
          <a:prstGeom prst="rect">
            <a:avLst/>
          </a:prstGeom>
          <a:gradFill flip="none" rotWithShape="1">
            <a:gsLst>
              <a:gs pos="28000">
                <a:srgbClr val="353C96"/>
              </a:gs>
              <a:gs pos="97000">
                <a:srgbClr val="2587D1"/>
              </a:gs>
            </a:gsLst>
            <a:lin ang="30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 name="Rectangle 3">
            <a:extLst>
              <a:ext uri="{FF2B5EF4-FFF2-40B4-BE49-F238E27FC236}">
                <a16:creationId xmlns:a16="http://schemas.microsoft.com/office/drawing/2014/main" id="{D3171D0B-F7FD-A417-61B3-CDC14F8CA2A1}"/>
              </a:ext>
            </a:extLst>
          </xdr:cNvPr>
          <xdr:cNvSpPr/>
        </xdr:nvSpPr>
        <xdr:spPr>
          <a:xfrm>
            <a:off x="172844" y="6858000"/>
            <a:ext cx="11850624" cy="7235580"/>
          </a:xfrm>
          <a:prstGeom prst="rect">
            <a:avLst/>
          </a:prstGeom>
          <a:gradFill flip="none" rotWithShape="1">
            <a:gsLst>
              <a:gs pos="0">
                <a:srgbClr val="A66AB0"/>
              </a:gs>
              <a:gs pos="37000">
                <a:srgbClr val="353C97">
                  <a:alpha val="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91440</xdr:colOff>
      <xdr:row>2</xdr:row>
      <xdr:rowOff>15240</xdr:rowOff>
    </xdr:from>
    <xdr:to>
      <xdr:col>20</xdr:col>
      <xdr:colOff>426720</xdr:colOff>
      <xdr:row>37</xdr:row>
      <xdr:rowOff>106680</xdr:rowOff>
    </xdr:to>
    <xdr:grpSp>
      <xdr:nvGrpSpPr>
        <xdr:cNvPr id="5" name="Group 4">
          <a:extLst>
            <a:ext uri="{FF2B5EF4-FFF2-40B4-BE49-F238E27FC236}">
              <a16:creationId xmlns:a16="http://schemas.microsoft.com/office/drawing/2014/main" id="{5308A629-278F-46F4-8C11-67093CDB3615}"/>
            </a:ext>
          </a:extLst>
        </xdr:cNvPr>
        <xdr:cNvGrpSpPr/>
      </xdr:nvGrpSpPr>
      <xdr:grpSpPr>
        <a:xfrm>
          <a:off x="1920240" y="396240"/>
          <a:ext cx="10698480" cy="6758940"/>
          <a:chOff x="914143" y="7218382"/>
          <a:chExt cx="10698480" cy="6492240"/>
        </a:xfrm>
        <a:effectLst>
          <a:outerShdw blurRad="571500" dist="190500" dir="8100000" algn="tr" rotWithShape="0">
            <a:prstClr val="black">
              <a:alpha val="60000"/>
            </a:prstClr>
          </a:outerShdw>
        </a:effectLst>
      </xdr:grpSpPr>
      <xdr:sp macro="" textlink="">
        <xdr:nvSpPr>
          <xdr:cNvPr id="6" name="Rectangle: Rounded Corners 5">
            <a:extLst>
              <a:ext uri="{FF2B5EF4-FFF2-40B4-BE49-F238E27FC236}">
                <a16:creationId xmlns:a16="http://schemas.microsoft.com/office/drawing/2014/main" id="{37981728-CF54-7D70-424F-D13422422F27}"/>
              </a:ext>
            </a:extLst>
          </xdr:cNvPr>
          <xdr:cNvSpPr/>
        </xdr:nvSpPr>
        <xdr:spPr>
          <a:xfrm>
            <a:off x="914143" y="7218382"/>
            <a:ext cx="10698480" cy="6492240"/>
          </a:xfrm>
          <a:prstGeom prst="roundRect">
            <a:avLst>
              <a:gd name="adj" fmla="val 5678"/>
            </a:avLst>
          </a:prstGeom>
          <a:gradFill flip="none" rotWithShape="1">
            <a:gsLst>
              <a:gs pos="100000">
                <a:srgbClr val="1A598D"/>
              </a:gs>
              <a:gs pos="72000">
                <a:srgbClr val="353874"/>
              </a:gs>
              <a:gs pos="27000">
                <a:srgbClr val="353874"/>
              </a:gs>
              <a:gs pos="0">
                <a:srgbClr val="43348B"/>
              </a:gs>
            </a:gsLst>
            <a:lin ang="2700000" scaled="1"/>
            <a:tileRect/>
          </a:gradFill>
          <a:ln w="9525">
            <a:gradFill flip="none" rotWithShape="1">
              <a:gsLst>
                <a:gs pos="0">
                  <a:srgbClr val="00B0F0"/>
                </a:gs>
                <a:gs pos="100000">
                  <a:srgbClr val="7030A0"/>
                </a:gs>
                <a:gs pos="58000">
                  <a:srgbClr val="8776B8"/>
                </a:gs>
                <a:gs pos="34000">
                  <a:srgbClr val="F2BBF3"/>
                </a:gs>
              </a:gsLst>
              <a:lin ang="135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 name="Rectangle: Rounded Corners 6">
            <a:extLst>
              <a:ext uri="{FF2B5EF4-FFF2-40B4-BE49-F238E27FC236}">
                <a16:creationId xmlns:a16="http://schemas.microsoft.com/office/drawing/2014/main" id="{CA5718A4-5E83-0321-2F8A-C60E0CA3E158}"/>
              </a:ext>
            </a:extLst>
          </xdr:cNvPr>
          <xdr:cNvSpPr/>
        </xdr:nvSpPr>
        <xdr:spPr>
          <a:xfrm>
            <a:off x="914143" y="7218382"/>
            <a:ext cx="10698480" cy="6492240"/>
          </a:xfrm>
          <a:prstGeom prst="roundRect">
            <a:avLst>
              <a:gd name="adj" fmla="val 5678"/>
            </a:avLst>
          </a:prstGeom>
          <a:gradFill flip="none" rotWithShape="1">
            <a:gsLst>
              <a:gs pos="100000">
                <a:srgbClr val="5E376F"/>
              </a:gs>
              <a:gs pos="72000">
                <a:srgbClr val="353874">
                  <a:alpha val="0"/>
                </a:srgbClr>
              </a:gs>
              <a:gs pos="27000">
                <a:srgbClr val="353874">
                  <a:alpha val="0"/>
                </a:srgbClr>
              </a:gs>
              <a:gs pos="0">
                <a:srgbClr val="43348B"/>
              </a:gs>
            </a:gsLst>
            <a:lin ang="18900000" scaled="1"/>
            <a:tileRect/>
          </a:gradFill>
          <a:ln w="9525">
            <a:gradFill flip="none" rotWithShape="1">
              <a:gsLst>
                <a:gs pos="0">
                  <a:srgbClr val="00B0F0"/>
                </a:gs>
                <a:gs pos="100000">
                  <a:srgbClr val="9079D9"/>
                </a:gs>
                <a:gs pos="68000">
                  <a:srgbClr val="6956B1"/>
                </a:gs>
                <a:gs pos="34000">
                  <a:srgbClr val="F2BBF3"/>
                </a:gs>
              </a:gsLst>
              <a:lin ang="135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488462</xdr:colOff>
      <xdr:row>3</xdr:row>
      <xdr:rowOff>167548</xdr:rowOff>
    </xdr:from>
    <xdr:to>
      <xdr:col>7</xdr:col>
      <xdr:colOff>492048</xdr:colOff>
      <xdr:row>12</xdr:row>
      <xdr:rowOff>167548</xdr:rowOff>
    </xdr:to>
    <xdr:sp macro="" textlink="">
      <xdr:nvSpPr>
        <xdr:cNvPr id="8" name="Rectangle: Rounded Corners 7">
          <a:extLst>
            <a:ext uri="{FF2B5EF4-FFF2-40B4-BE49-F238E27FC236}">
              <a16:creationId xmlns:a16="http://schemas.microsoft.com/office/drawing/2014/main" id="{D47A6982-7512-41DE-B438-F22AE537BA22}"/>
            </a:ext>
          </a:extLst>
        </xdr:cNvPr>
        <xdr:cNvSpPr/>
      </xdr:nvSpPr>
      <xdr:spPr>
        <a:xfrm>
          <a:off x="2317262" y="716188"/>
          <a:ext cx="2441986" cy="1645920"/>
        </a:xfrm>
        <a:prstGeom prst="roundRect">
          <a:avLst>
            <a:gd name="adj" fmla="val 9318"/>
          </a:avLst>
        </a:prstGeom>
        <a:gradFill flip="none" rotWithShape="1">
          <a:gsLst>
            <a:gs pos="3000">
              <a:srgbClr val="574998"/>
            </a:gs>
            <a:gs pos="76000">
              <a:srgbClr val="262D6A"/>
            </a:gs>
          </a:gsLst>
          <a:lin ang="6600000" scaled="0"/>
          <a:tileRect/>
        </a:gradFill>
        <a:ln w="9525">
          <a:gradFill flip="none" rotWithShape="1">
            <a:gsLst>
              <a:gs pos="0">
                <a:srgbClr val="BB75D8"/>
              </a:gs>
              <a:gs pos="51000">
                <a:srgbClr val="3B3E75"/>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100053</xdr:colOff>
      <xdr:row>3</xdr:row>
      <xdr:rowOff>170237</xdr:rowOff>
    </xdr:from>
    <xdr:to>
      <xdr:col>12</xdr:col>
      <xdr:colOff>474302</xdr:colOff>
      <xdr:row>12</xdr:row>
      <xdr:rowOff>170237</xdr:rowOff>
    </xdr:to>
    <xdr:sp macro="" textlink="">
      <xdr:nvSpPr>
        <xdr:cNvPr id="9" name="Rectangle: Rounded Corners 8">
          <a:extLst>
            <a:ext uri="{FF2B5EF4-FFF2-40B4-BE49-F238E27FC236}">
              <a16:creationId xmlns:a16="http://schemas.microsoft.com/office/drawing/2014/main" id="{71E09A2B-9551-485C-99A2-EB0B249ACA8B}"/>
            </a:ext>
          </a:extLst>
        </xdr:cNvPr>
        <xdr:cNvSpPr/>
      </xdr:nvSpPr>
      <xdr:spPr>
        <a:xfrm>
          <a:off x="4976853" y="718877"/>
          <a:ext cx="2812649" cy="1645920"/>
        </a:xfrm>
        <a:prstGeom prst="roundRect">
          <a:avLst>
            <a:gd name="adj" fmla="val 8437"/>
          </a:avLst>
        </a:prstGeom>
        <a:gradFill flip="none" rotWithShape="1">
          <a:gsLst>
            <a:gs pos="0">
              <a:srgbClr val="7D59A1"/>
            </a:gs>
            <a:gs pos="68000">
              <a:srgbClr val="30306F"/>
            </a:gs>
          </a:gsLst>
          <a:lin ang="6600000" scaled="0"/>
          <a:tileRect/>
        </a:gradFill>
        <a:ln w="9525">
          <a:gradFill flip="none" rotWithShape="1">
            <a:gsLst>
              <a:gs pos="0">
                <a:srgbClr val="EB97ED"/>
              </a:gs>
              <a:gs pos="49000">
                <a:srgbClr val="404380"/>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317657</xdr:colOff>
      <xdr:row>5</xdr:row>
      <xdr:rowOff>25457</xdr:rowOff>
    </xdr:from>
    <xdr:to>
      <xdr:col>12</xdr:col>
      <xdr:colOff>256697</xdr:colOff>
      <xdr:row>11</xdr:row>
      <xdr:rowOff>116897</xdr:rowOff>
    </xdr:to>
    <xdr:grpSp>
      <xdr:nvGrpSpPr>
        <xdr:cNvPr id="10" name="Group 9">
          <a:extLst>
            <a:ext uri="{FF2B5EF4-FFF2-40B4-BE49-F238E27FC236}">
              <a16:creationId xmlns:a16="http://schemas.microsoft.com/office/drawing/2014/main" id="{8E5585EA-0479-4063-BD6D-CF6791AFCAC5}"/>
            </a:ext>
          </a:extLst>
        </xdr:cNvPr>
        <xdr:cNvGrpSpPr/>
      </xdr:nvGrpSpPr>
      <xdr:grpSpPr>
        <a:xfrm>
          <a:off x="5194457" y="977957"/>
          <a:ext cx="2377440" cy="1234440"/>
          <a:chOff x="4327066" y="2477006"/>
          <a:chExt cx="2017854" cy="1200912"/>
        </a:xfrm>
        <a:effectLst>
          <a:outerShdw blurRad="190500" dist="63500" dir="8100000" algn="tr" rotWithShape="0">
            <a:prstClr val="black">
              <a:alpha val="80000"/>
            </a:prstClr>
          </a:outerShdw>
        </a:effectLst>
      </xdr:grpSpPr>
      <xdr:sp macro="" textlink="">
        <xdr:nvSpPr>
          <xdr:cNvPr id="11" name="Rectangle: Rounded Corners 10">
            <a:extLst>
              <a:ext uri="{FF2B5EF4-FFF2-40B4-BE49-F238E27FC236}">
                <a16:creationId xmlns:a16="http://schemas.microsoft.com/office/drawing/2014/main" id="{2D4B27FE-C43B-C404-A507-52342DF43CC3}"/>
              </a:ext>
            </a:extLst>
          </xdr:cNvPr>
          <xdr:cNvSpPr/>
        </xdr:nvSpPr>
        <xdr:spPr>
          <a:xfrm>
            <a:off x="4327066" y="2477006"/>
            <a:ext cx="2017854" cy="1200912"/>
          </a:xfrm>
          <a:prstGeom prst="roundRect">
            <a:avLst>
              <a:gd name="adj" fmla="val 12606"/>
            </a:avLst>
          </a:prstGeom>
          <a:gradFill flip="none" rotWithShape="1">
            <a:gsLst>
              <a:gs pos="0">
                <a:srgbClr val="614AAB"/>
              </a:gs>
              <a:gs pos="93000">
                <a:srgbClr val="394CA9"/>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E15">
        <xdr:nvSpPr>
          <xdr:cNvPr id="12" name="Rectangle: Rounded Corners 11">
            <a:extLst>
              <a:ext uri="{FF2B5EF4-FFF2-40B4-BE49-F238E27FC236}">
                <a16:creationId xmlns:a16="http://schemas.microsoft.com/office/drawing/2014/main" id="{AED63610-7E35-987A-2987-54471CE9FA60}"/>
              </a:ext>
            </a:extLst>
          </xdr:cNvPr>
          <xdr:cNvSpPr/>
        </xdr:nvSpPr>
        <xdr:spPr>
          <a:xfrm>
            <a:off x="4327066" y="2477006"/>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7F9CE73C-E2A6-491B-A672-9AFFE5A714CF}" type="TxLink">
              <a:rPr lang="en-US" sz="3400" b="0" i="0" u="none" strike="noStrike">
                <a:solidFill>
                  <a:schemeClr val="bg1"/>
                </a:solidFill>
                <a:latin typeface="Aptos Narrow"/>
              </a:rPr>
              <a:pPr algn="l"/>
              <a:t> $206,601 </a:t>
            </a:fld>
            <a:endParaRPr lang="ru-RU" sz="3400">
              <a:solidFill>
                <a:schemeClr val="bg1"/>
              </a:solidFill>
            </a:endParaRPr>
          </a:p>
        </xdr:txBody>
      </xdr:sp>
    </xdr:grpSp>
    <xdr:clientData/>
  </xdr:twoCellAnchor>
  <xdr:twoCellAnchor>
    <xdr:from>
      <xdr:col>13</xdr:col>
      <xdr:colOff>117892</xdr:colOff>
      <xdr:row>3</xdr:row>
      <xdr:rowOff>167548</xdr:rowOff>
    </xdr:from>
    <xdr:to>
      <xdr:col>20</xdr:col>
      <xdr:colOff>11212</xdr:colOff>
      <xdr:row>17</xdr:row>
      <xdr:rowOff>86268</xdr:rowOff>
    </xdr:to>
    <xdr:sp macro="" textlink="">
      <xdr:nvSpPr>
        <xdr:cNvPr id="13" name="Rectangle: Rounded Corners 12">
          <a:extLst>
            <a:ext uri="{FF2B5EF4-FFF2-40B4-BE49-F238E27FC236}">
              <a16:creationId xmlns:a16="http://schemas.microsoft.com/office/drawing/2014/main" id="{AC1201EE-01AF-41E3-AF78-56C0F8000A62}"/>
            </a:ext>
          </a:extLst>
        </xdr:cNvPr>
        <xdr:cNvSpPr/>
      </xdr:nvSpPr>
      <xdr:spPr>
        <a:xfrm>
          <a:off x="8042692" y="716188"/>
          <a:ext cx="4160520" cy="2479040"/>
        </a:xfrm>
        <a:prstGeom prst="roundRect">
          <a:avLst>
            <a:gd name="adj" fmla="val 8437"/>
          </a:avLst>
        </a:prstGeom>
        <a:gradFill flip="none" rotWithShape="1">
          <a:gsLst>
            <a:gs pos="85000">
              <a:srgbClr val="4F4C91"/>
            </a:gs>
            <a:gs pos="34000">
              <a:srgbClr val="7B5FA2"/>
            </a:gs>
            <a:gs pos="0">
              <a:srgbClr val="9D71AE"/>
            </a:gs>
            <a:gs pos="69000">
              <a:srgbClr val="5A4E94"/>
            </a:gs>
          </a:gsLst>
          <a:lin ang="6000000" scaled="0"/>
          <a:tileRect/>
        </a:gradFill>
        <a:ln w="9525">
          <a:gradFill flip="none" rotWithShape="1">
            <a:gsLst>
              <a:gs pos="0">
                <a:srgbClr val="F2BBF3"/>
              </a:gs>
              <a:gs pos="58000">
                <a:srgbClr val="9079D9"/>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tx2">
                <a:lumMod val="10000"/>
                <a:lumOff val="90000"/>
              </a:schemeClr>
            </a:solidFill>
          </a:endParaRPr>
        </a:p>
      </xdr:txBody>
    </xdr:sp>
    <xdr:clientData/>
  </xdr:twoCellAnchor>
  <xdr:twoCellAnchor>
    <xdr:from>
      <xdr:col>16</xdr:col>
      <xdr:colOff>346492</xdr:colOff>
      <xdr:row>18</xdr:row>
      <xdr:rowOff>130175</xdr:rowOff>
    </xdr:from>
    <xdr:to>
      <xdr:col>20</xdr:col>
      <xdr:colOff>11212</xdr:colOff>
      <xdr:row>35</xdr:row>
      <xdr:rowOff>130175</xdr:rowOff>
    </xdr:to>
    <xdr:sp macro="" textlink="">
      <xdr:nvSpPr>
        <xdr:cNvPr id="14" name="Rectangle: Rounded Corners 13">
          <a:extLst>
            <a:ext uri="{FF2B5EF4-FFF2-40B4-BE49-F238E27FC236}">
              <a16:creationId xmlns:a16="http://schemas.microsoft.com/office/drawing/2014/main" id="{5452DDB2-698E-41D1-A830-8E1ED57CFA73}"/>
            </a:ext>
          </a:extLst>
        </xdr:cNvPr>
        <xdr:cNvSpPr/>
      </xdr:nvSpPr>
      <xdr:spPr>
        <a:xfrm>
          <a:off x="10100092" y="3422015"/>
          <a:ext cx="2103120" cy="3108960"/>
        </a:xfrm>
        <a:prstGeom prst="roundRect">
          <a:avLst>
            <a:gd name="adj" fmla="val 8437"/>
          </a:avLst>
        </a:prstGeom>
        <a:gradFill flip="none" rotWithShape="1">
          <a:gsLst>
            <a:gs pos="68536">
              <a:srgbClr val="324385"/>
            </a:gs>
            <a:gs pos="100000">
              <a:srgbClr val="2A3E7E"/>
            </a:gs>
            <a:gs pos="28000">
              <a:srgbClr val="3F488D"/>
            </a:gs>
            <a:gs pos="0">
              <a:srgbClr val="56549D"/>
            </a:gs>
          </a:gsLst>
          <a:lin ang="5400000" scaled="0"/>
          <a:tileRect/>
        </a:gradFill>
        <a:ln w="9525">
          <a:solidFill>
            <a:srgbClr val="EB97ED"/>
          </a:soli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13</xdr:col>
      <xdr:colOff>117892</xdr:colOff>
      <xdr:row>18</xdr:row>
      <xdr:rowOff>130175</xdr:rowOff>
    </xdr:from>
    <xdr:to>
      <xdr:col>16</xdr:col>
      <xdr:colOff>117892</xdr:colOff>
      <xdr:row>35</xdr:row>
      <xdr:rowOff>130175</xdr:rowOff>
    </xdr:to>
    <xdr:sp macro="" textlink="">
      <xdr:nvSpPr>
        <xdr:cNvPr id="15" name="Rectangle: Rounded Corners 14">
          <a:extLst>
            <a:ext uri="{FF2B5EF4-FFF2-40B4-BE49-F238E27FC236}">
              <a16:creationId xmlns:a16="http://schemas.microsoft.com/office/drawing/2014/main" id="{EC950618-2A7D-4B81-8E24-2B85EB4E0085}"/>
            </a:ext>
          </a:extLst>
        </xdr:cNvPr>
        <xdr:cNvSpPr/>
      </xdr:nvSpPr>
      <xdr:spPr>
        <a:xfrm>
          <a:off x="8042692" y="3422015"/>
          <a:ext cx="1828800" cy="3108960"/>
        </a:xfrm>
        <a:prstGeom prst="roundRect">
          <a:avLst>
            <a:gd name="adj" fmla="val 8437"/>
          </a:avLst>
        </a:prstGeom>
        <a:gradFill flip="none" rotWithShape="1">
          <a:gsLst>
            <a:gs pos="68536">
              <a:srgbClr val="324385"/>
            </a:gs>
            <a:gs pos="100000">
              <a:srgbClr val="2A3E7E"/>
            </a:gs>
            <a:gs pos="28000">
              <a:srgbClr val="3F488D"/>
            </a:gs>
            <a:gs pos="0">
              <a:srgbClr val="56549D"/>
            </a:gs>
          </a:gsLst>
          <a:lin ang="5400000" scaled="0"/>
          <a:tileRect/>
        </a:gradFill>
        <a:ln w="9525">
          <a:gradFill>
            <a:gsLst>
              <a:gs pos="0">
                <a:srgbClr val="997ABC"/>
              </a:gs>
              <a:gs pos="100000">
                <a:srgbClr val="404380"/>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482872</xdr:colOff>
      <xdr:row>14</xdr:row>
      <xdr:rowOff>45720</xdr:rowOff>
    </xdr:from>
    <xdr:to>
      <xdr:col>12</xdr:col>
      <xdr:colOff>474302</xdr:colOff>
      <xdr:row>35</xdr:row>
      <xdr:rowOff>130175</xdr:rowOff>
    </xdr:to>
    <xdr:sp macro="" textlink="">
      <xdr:nvSpPr>
        <xdr:cNvPr id="16" name="Rectangle: Rounded Corners 15">
          <a:extLst>
            <a:ext uri="{FF2B5EF4-FFF2-40B4-BE49-F238E27FC236}">
              <a16:creationId xmlns:a16="http://schemas.microsoft.com/office/drawing/2014/main" id="{E1288999-8752-4974-A155-3C472AE00E9D}"/>
            </a:ext>
          </a:extLst>
        </xdr:cNvPr>
        <xdr:cNvSpPr/>
      </xdr:nvSpPr>
      <xdr:spPr>
        <a:xfrm>
          <a:off x="2311672" y="2606040"/>
          <a:ext cx="5477830" cy="3924935"/>
        </a:xfrm>
        <a:prstGeom prst="roundRect">
          <a:avLst>
            <a:gd name="adj" fmla="val 3638"/>
          </a:avLst>
        </a:prstGeom>
        <a:gradFill>
          <a:gsLst>
            <a:gs pos="0">
              <a:srgbClr val="515092"/>
            </a:gs>
            <a:gs pos="79000">
              <a:srgbClr val="2C3977"/>
            </a:gs>
          </a:gsLst>
          <a:lin ang="5400000" scaled="0"/>
        </a:gradFill>
        <a:ln w="9525">
          <a:gradFill flip="none" rotWithShape="1">
            <a:gsLst>
              <a:gs pos="0">
                <a:srgbClr val="997ABC"/>
              </a:gs>
              <a:gs pos="81000">
                <a:srgbClr val="404380"/>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106680</xdr:colOff>
      <xdr:row>5</xdr:row>
      <xdr:rowOff>15240</xdr:rowOff>
    </xdr:from>
    <xdr:to>
      <xdr:col>7</xdr:col>
      <xdr:colOff>289560</xdr:colOff>
      <xdr:row>11</xdr:row>
      <xdr:rowOff>106680</xdr:rowOff>
    </xdr:to>
    <xdr:grpSp>
      <xdr:nvGrpSpPr>
        <xdr:cNvPr id="17" name="Group 16">
          <a:extLst>
            <a:ext uri="{FF2B5EF4-FFF2-40B4-BE49-F238E27FC236}">
              <a16:creationId xmlns:a16="http://schemas.microsoft.com/office/drawing/2014/main" id="{215ABD23-9047-471C-ACD2-6B5136ED6E59}"/>
            </a:ext>
          </a:extLst>
        </xdr:cNvPr>
        <xdr:cNvGrpSpPr/>
      </xdr:nvGrpSpPr>
      <xdr:grpSpPr>
        <a:xfrm>
          <a:off x="2545080" y="967740"/>
          <a:ext cx="2011680" cy="1234440"/>
          <a:chOff x="2234106" y="2775708"/>
          <a:chExt cx="2017854" cy="1200912"/>
        </a:xfrm>
        <a:effectLst>
          <a:outerShdw blurRad="190500" dist="63500" dir="8100000" algn="tr" rotWithShape="0">
            <a:prstClr val="black">
              <a:alpha val="80000"/>
            </a:prstClr>
          </a:outerShdw>
        </a:effectLst>
      </xdr:grpSpPr>
      <xdr:sp macro="" textlink="">
        <xdr:nvSpPr>
          <xdr:cNvPr id="18" name="Rectangle: Rounded Corners 17">
            <a:extLst>
              <a:ext uri="{FF2B5EF4-FFF2-40B4-BE49-F238E27FC236}">
                <a16:creationId xmlns:a16="http://schemas.microsoft.com/office/drawing/2014/main" id="{C0D12FDB-2A07-010E-46C8-849DA5654ABB}"/>
              </a:ext>
            </a:extLst>
          </xdr:cNvPr>
          <xdr:cNvSpPr/>
        </xdr:nvSpPr>
        <xdr:spPr>
          <a:xfrm>
            <a:off x="2234106" y="2775708"/>
            <a:ext cx="2017854" cy="1200912"/>
          </a:xfrm>
          <a:prstGeom prst="roundRect">
            <a:avLst>
              <a:gd name="adj" fmla="val 12606"/>
            </a:avLst>
          </a:prstGeom>
          <a:gradFill flip="none" rotWithShape="1">
            <a:gsLst>
              <a:gs pos="0">
                <a:srgbClr val="614AAB"/>
              </a:gs>
              <a:gs pos="100000">
                <a:srgbClr val="3636A6"/>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R6">
        <xdr:nvSpPr>
          <xdr:cNvPr id="19" name="Rectangle: Rounded Corners 18">
            <a:extLst>
              <a:ext uri="{FF2B5EF4-FFF2-40B4-BE49-F238E27FC236}">
                <a16:creationId xmlns:a16="http://schemas.microsoft.com/office/drawing/2014/main" id="{C6147622-3BCC-79A6-9269-C2A127DD3B99}"/>
              </a:ext>
            </a:extLst>
          </xdr:cNvPr>
          <xdr:cNvSpPr/>
        </xdr:nvSpPr>
        <xdr:spPr>
          <a:xfrm>
            <a:off x="2234106" y="2775708"/>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9D5B22AD-2689-4A19-8294-60DCF73D852F}" type="TxLink">
              <a:rPr lang="en-US" sz="4000" b="0" i="0" u="none" strike="noStrike">
                <a:solidFill>
                  <a:schemeClr val="bg1"/>
                </a:solidFill>
                <a:latin typeface="Aptos Narrow"/>
              </a:rPr>
              <a:pPr algn="l"/>
              <a:t> 3 611</a:t>
            </a:fld>
            <a:endParaRPr lang="ru-RU" sz="4000">
              <a:solidFill>
                <a:schemeClr val="bg1"/>
              </a:solidFill>
            </a:endParaRPr>
          </a:p>
        </xdr:txBody>
      </xdr:sp>
    </xdr:grpSp>
    <xdr:clientData/>
  </xdr:twoCellAnchor>
  <xdr:twoCellAnchor>
    <xdr:from>
      <xdr:col>16</xdr:col>
      <xdr:colOff>289559</xdr:colOff>
      <xdr:row>5</xdr:row>
      <xdr:rowOff>73343</xdr:rowOff>
    </xdr:from>
    <xdr:to>
      <xdr:col>19</xdr:col>
      <xdr:colOff>289559</xdr:colOff>
      <xdr:row>15</xdr:row>
      <xdr:rowOff>73343</xdr:rowOff>
    </xdr:to>
    <xdr:sp macro="" textlink="">
      <xdr:nvSpPr>
        <xdr:cNvPr id="20" name="Circle: Hollow 19">
          <a:extLst>
            <a:ext uri="{FF2B5EF4-FFF2-40B4-BE49-F238E27FC236}">
              <a16:creationId xmlns:a16="http://schemas.microsoft.com/office/drawing/2014/main" id="{79E91458-AABC-49DA-B392-91889F1A482E}"/>
            </a:ext>
          </a:extLst>
        </xdr:cNvPr>
        <xdr:cNvSpPr/>
      </xdr:nvSpPr>
      <xdr:spPr>
        <a:xfrm>
          <a:off x="10043159" y="987743"/>
          <a:ext cx="1828800" cy="1828800"/>
        </a:xfrm>
        <a:prstGeom prst="donut">
          <a:avLst>
            <a:gd name="adj" fmla="val 20022"/>
          </a:avLst>
        </a:prstGeom>
        <a:solidFill>
          <a:srgbClr val="775A94"/>
        </a:solidFill>
        <a:ln>
          <a:noFill/>
        </a:ln>
        <a:effectLst>
          <a:innerShdw blurRad="254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15</xdr:col>
      <xdr:colOff>218883</xdr:colOff>
      <xdr:row>4</xdr:row>
      <xdr:rowOff>22860</xdr:rowOff>
    </xdr:from>
    <xdr:to>
      <xdr:col>20</xdr:col>
      <xdr:colOff>213549</xdr:colOff>
      <xdr:row>17</xdr:row>
      <xdr:rowOff>22860</xdr:rowOff>
    </xdr:to>
    <xdr:graphicFrame macro="">
      <xdr:nvGraphicFramePr>
        <xdr:cNvPr id="21" name="Chart 20">
          <a:extLst>
            <a:ext uri="{FF2B5EF4-FFF2-40B4-BE49-F238E27FC236}">
              <a16:creationId xmlns:a16="http://schemas.microsoft.com/office/drawing/2014/main" id="{DA1CC9A2-1768-42F2-B0D6-CA25A4AFA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144780</xdr:colOff>
      <xdr:row>8</xdr:row>
      <xdr:rowOff>175260</xdr:rowOff>
    </xdr:from>
    <xdr:to>
      <xdr:col>18</xdr:col>
      <xdr:colOff>464820</xdr:colOff>
      <xdr:row>11</xdr:row>
      <xdr:rowOff>144780</xdr:rowOff>
    </xdr:to>
    <xdr:sp macro="" textlink="Processing!L1">
      <xdr:nvSpPr>
        <xdr:cNvPr id="22" name="TextBox 21">
          <a:extLst>
            <a:ext uri="{FF2B5EF4-FFF2-40B4-BE49-F238E27FC236}">
              <a16:creationId xmlns:a16="http://schemas.microsoft.com/office/drawing/2014/main" id="{DAD8A9FA-5E31-4DD8-86CB-8720A3844F95}"/>
            </a:ext>
          </a:extLst>
        </xdr:cNvPr>
        <xdr:cNvSpPr txBox="1"/>
      </xdr:nvSpPr>
      <xdr:spPr>
        <a:xfrm>
          <a:off x="10507980" y="1638300"/>
          <a:ext cx="9296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13EBC-4154-46D3-8C89-E3581B3DEC57}" type="TxLink">
            <a:rPr lang="en-US" sz="28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algn="ctr"/>
            <a:t>69%</a:t>
          </a:fld>
          <a:endParaRPr lang="ru-RU" sz="28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556260</xdr:colOff>
      <xdr:row>6</xdr:row>
      <xdr:rowOff>111668</xdr:rowOff>
    </xdr:from>
    <xdr:to>
      <xdr:col>15</xdr:col>
      <xdr:colOff>441960</xdr:colOff>
      <xdr:row>14</xdr:row>
      <xdr:rowOff>142148</xdr:rowOff>
    </xdr:to>
    <xdr:sp macro="" textlink="Processing!L3">
      <xdr:nvSpPr>
        <xdr:cNvPr id="23" name="TextBox 22">
          <a:extLst>
            <a:ext uri="{FF2B5EF4-FFF2-40B4-BE49-F238E27FC236}">
              <a16:creationId xmlns:a16="http://schemas.microsoft.com/office/drawing/2014/main" id="{62C4271B-5CCA-447F-9547-31AEEB6EDAD8}"/>
            </a:ext>
          </a:extLst>
        </xdr:cNvPr>
        <xdr:cNvSpPr txBox="1"/>
      </xdr:nvSpPr>
      <xdr:spPr>
        <a:xfrm>
          <a:off x="8481060" y="1208948"/>
          <a:ext cx="1104900" cy="149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192E12-50AD-4E0A-B2D0-AEA7EAFE272F}" type="TxLink">
            <a:rPr lang="en-US"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algn="l"/>
            <a:t>Referral
Social
Organic
Other</a:t>
          </a:fld>
          <a:endParaRPr lang="ru-RU" sz="40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15</xdr:col>
      <xdr:colOff>176554</xdr:colOff>
      <xdr:row>6</xdr:row>
      <xdr:rowOff>15994</xdr:rowOff>
    </xdr:from>
    <xdr:to>
      <xdr:col>16</xdr:col>
      <xdr:colOff>265406</xdr:colOff>
      <xdr:row>15</xdr:row>
      <xdr:rowOff>54942</xdr:rowOff>
    </xdr:to>
    <xdr:sp macro="" textlink="Processing!L4">
      <xdr:nvSpPr>
        <xdr:cNvPr id="24" name="TextBox 23">
          <a:extLst>
            <a:ext uri="{FF2B5EF4-FFF2-40B4-BE49-F238E27FC236}">
              <a16:creationId xmlns:a16="http://schemas.microsoft.com/office/drawing/2014/main" id="{4076F3BF-06D1-4365-B3C8-1A459297D5DB}"/>
            </a:ext>
          </a:extLst>
        </xdr:cNvPr>
        <xdr:cNvSpPr txBox="1"/>
      </xdr:nvSpPr>
      <xdr:spPr>
        <a:xfrm>
          <a:off x="9320554" y="1113274"/>
          <a:ext cx="698452" cy="168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4F74C0-A175-46A3-99F1-6AC9F525AB7E}" type="TxLink">
            <a:rPr lang="en-US"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marL="0" indent="0" algn="l"/>
            <a:t>13%
39%
17%
31%</a:t>
          </a:fld>
          <a:endParaRPr lang="ru-RU"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396240</xdr:colOff>
      <xdr:row>8</xdr:row>
      <xdr:rowOff>53340</xdr:rowOff>
    </xdr:from>
    <xdr:to>
      <xdr:col>13</xdr:col>
      <xdr:colOff>533400</xdr:colOff>
      <xdr:row>9</xdr:row>
      <xdr:rowOff>7620</xdr:rowOff>
    </xdr:to>
    <xdr:sp macro="" textlink="">
      <xdr:nvSpPr>
        <xdr:cNvPr id="25" name="Oval 24">
          <a:extLst>
            <a:ext uri="{FF2B5EF4-FFF2-40B4-BE49-F238E27FC236}">
              <a16:creationId xmlns:a16="http://schemas.microsoft.com/office/drawing/2014/main" id="{A49D5DDA-F371-48B4-AE8A-827A31AFFB15}"/>
            </a:ext>
          </a:extLst>
        </xdr:cNvPr>
        <xdr:cNvSpPr/>
      </xdr:nvSpPr>
      <xdr:spPr>
        <a:xfrm>
          <a:off x="8321040" y="1516380"/>
          <a:ext cx="137160" cy="137160"/>
        </a:xfrm>
        <a:prstGeom prst="ellipse">
          <a:avLst/>
        </a:prstGeom>
        <a:gradFill>
          <a:gsLst>
            <a:gs pos="0">
              <a:schemeClr val="accent5">
                <a:lumMod val="60000"/>
                <a:lumOff val="40000"/>
              </a:schemeClr>
            </a:gs>
            <a:gs pos="97000">
              <a:srgbClr val="A62C97"/>
            </a:gs>
          </a:gsLst>
          <a:lin ang="3000000" scaled="0"/>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9</xdr:row>
      <xdr:rowOff>119380</xdr:rowOff>
    </xdr:from>
    <xdr:to>
      <xdr:col>13</xdr:col>
      <xdr:colOff>533400</xdr:colOff>
      <xdr:row>10</xdr:row>
      <xdr:rowOff>73660</xdr:rowOff>
    </xdr:to>
    <xdr:sp macro="" textlink="">
      <xdr:nvSpPr>
        <xdr:cNvPr id="26" name="Oval 25">
          <a:extLst>
            <a:ext uri="{FF2B5EF4-FFF2-40B4-BE49-F238E27FC236}">
              <a16:creationId xmlns:a16="http://schemas.microsoft.com/office/drawing/2014/main" id="{1C5BCCA6-ADD6-455A-AE2A-F580829208A8}"/>
            </a:ext>
          </a:extLst>
        </xdr:cNvPr>
        <xdr:cNvSpPr/>
      </xdr:nvSpPr>
      <xdr:spPr>
        <a:xfrm>
          <a:off x="8321040" y="1765300"/>
          <a:ext cx="137160" cy="137160"/>
        </a:xfrm>
        <a:prstGeom prst="ellipse">
          <a:avLst/>
        </a:prstGeom>
        <a:gradFill>
          <a:gsLst>
            <a:gs pos="100000">
              <a:srgbClr val="61A7F5"/>
            </a:gs>
            <a:gs pos="0">
              <a:srgbClr val="4077E3"/>
            </a:gs>
          </a:gsLst>
          <a:lin ang="5400000" scaled="1"/>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11</xdr:row>
      <xdr:rowOff>2540</xdr:rowOff>
    </xdr:from>
    <xdr:to>
      <xdr:col>13</xdr:col>
      <xdr:colOff>533400</xdr:colOff>
      <xdr:row>11</xdr:row>
      <xdr:rowOff>139700</xdr:rowOff>
    </xdr:to>
    <xdr:sp macro="" textlink="">
      <xdr:nvSpPr>
        <xdr:cNvPr id="27" name="Oval 26">
          <a:extLst>
            <a:ext uri="{FF2B5EF4-FFF2-40B4-BE49-F238E27FC236}">
              <a16:creationId xmlns:a16="http://schemas.microsoft.com/office/drawing/2014/main" id="{B1F4333E-B1E7-4501-95A8-450CB4614F19}"/>
            </a:ext>
          </a:extLst>
        </xdr:cNvPr>
        <xdr:cNvSpPr/>
      </xdr:nvSpPr>
      <xdr:spPr>
        <a:xfrm>
          <a:off x="8321040" y="2014220"/>
          <a:ext cx="137160" cy="137160"/>
        </a:xfrm>
        <a:prstGeom prst="ellipse">
          <a:avLst/>
        </a:prstGeom>
        <a:gradFill>
          <a:gsLst>
            <a:gs pos="0">
              <a:srgbClr val="8070E2"/>
            </a:gs>
            <a:gs pos="100000">
              <a:srgbClr val="5A4EBD"/>
            </a:gs>
          </a:gsLst>
          <a:lin ang="5400000" scaled="1"/>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12</xdr:row>
      <xdr:rowOff>68580</xdr:rowOff>
    </xdr:from>
    <xdr:to>
      <xdr:col>13</xdr:col>
      <xdr:colOff>533400</xdr:colOff>
      <xdr:row>13</xdr:row>
      <xdr:rowOff>22860</xdr:rowOff>
    </xdr:to>
    <xdr:sp macro="" textlink="">
      <xdr:nvSpPr>
        <xdr:cNvPr id="28" name="Oval 27">
          <a:extLst>
            <a:ext uri="{FF2B5EF4-FFF2-40B4-BE49-F238E27FC236}">
              <a16:creationId xmlns:a16="http://schemas.microsoft.com/office/drawing/2014/main" id="{80E74BD9-395E-44C6-BA63-7FC5A5EF4D34}"/>
            </a:ext>
          </a:extLst>
        </xdr:cNvPr>
        <xdr:cNvSpPr/>
      </xdr:nvSpPr>
      <xdr:spPr>
        <a:xfrm>
          <a:off x="8321040" y="2263140"/>
          <a:ext cx="137160" cy="137160"/>
        </a:xfrm>
        <a:prstGeom prst="ellipse">
          <a:avLst/>
        </a:prstGeom>
        <a:solidFill>
          <a:srgbClr val="49375B"/>
        </a:soli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297180</xdr:colOff>
      <xdr:row>4</xdr:row>
      <xdr:rowOff>68580</xdr:rowOff>
    </xdr:from>
    <xdr:to>
      <xdr:col>16</xdr:col>
      <xdr:colOff>236220</xdr:colOff>
      <xdr:row>7</xdr:row>
      <xdr:rowOff>38100</xdr:rowOff>
    </xdr:to>
    <xdr:sp macro="" textlink="Processing!J1">
      <xdr:nvSpPr>
        <xdr:cNvPr id="29" name="TextBox 28">
          <a:extLst>
            <a:ext uri="{FF2B5EF4-FFF2-40B4-BE49-F238E27FC236}">
              <a16:creationId xmlns:a16="http://schemas.microsoft.com/office/drawing/2014/main" id="{09915DF4-13EE-4BEF-889A-22CDCFDA31C4}"/>
            </a:ext>
          </a:extLst>
        </xdr:cNvPr>
        <xdr:cNvSpPr txBox="1"/>
      </xdr:nvSpPr>
      <xdr:spPr>
        <a:xfrm>
          <a:off x="8221980" y="800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F317E-6BCC-41D4-9B03-B5200F498A24}"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algn="ctr"/>
            <a:t>Traffic Sources</a:t>
          </a:fld>
          <a:endParaRPr lang="ru-RU" sz="44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17</xdr:col>
      <xdr:colOff>11336</xdr:colOff>
      <xdr:row>22</xdr:row>
      <xdr:rowOff>162436</xdr:rowOff>
    </xdr:from>
    <xdr:to>
      <xdr:col>19</xdr:col>
      <xdr:colOff>350335</xdr:colOff>
      <xdr:row>31</xdr:row>
      <xdr:rowOff>76944</xdr:rowOff>
    </xdr:to>
    <xdr:grpSp>
      <xdr:nvGrpSpPr>
        <xdr:cNvPr id="30" name="Group 29">
          <a:extLst>
            <a:ext uri="{FF2B5EF4-FFF2-40B4-BE49-F238E27FC236}">
              <a16:creationId xmlns:a16="http://schemas.microsoft.com/office/drawing/2014/main" id="{292FCE65-BD03-47B7-BC42-49B7595E00D6}"/>
            </a:ext>
          </a:extLst>
        </xdr:cNvPr>
        <xdr:cNvGrpSpPr/>
      </xdr:nvGrpSpPr>
      <xdr:grpSpPr>
        <a:xfrm>
          <a:off x="10374536" y="4353436"/>
          <a:ext cx="1558199" cy="1629008"/>
          <a:chOff x="10374536" y="4039901"/>
          <a:chExt cx="1558199" cy="1554481"/>
        </a:xfrm>
      </xdr:grpSpPr>
      <xdr:cxnSp macro="">
        <xdr:nvCxnSpPr>
          <xdr:cNvPr id="31" name="Straight Connector 30">
            <a:extLst>
              <a:ext uri="{FF2B5EF4-FFF2-40B4-BE49-F238E27FC236}">
                <a16:creationId xmlns:a16="http://schemas.microsoft.com/office/drawing/2014/main" id="{E0D585C0-7ECB-1149-034C-BE20BA52F5CA}"/>
              </a:ext>
            </a:extLst>
          </xdr:cNvPr>
          <xdr:cNvCxnSpPr/>
        </xdr:nvCxnSpPr>
        <xdr:spPr>
          <a:xfrm>
            <a:off x="11155494" y="4039901"/>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8B598671-0DAE-AA40-0959-6F0A50C7A6F7}"/>
              </a:ext>
            </a:extLst>
          </xdr:cNvPr>
          <xdr:cNvCxnSpPr/>
        </xdr:nvCxnSpPr>
        <xdr:spPr>
          <a:xfrm rot="16200000">
            <a:off x="11155495" y="4039901"/>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33" name="Straight Connector 32">
            <a:extLst>
              <a:ext uri="{FF2B5EF4-FFF2-40B4-BE49-F238E27FC236}">
                <a16:creationId xmlns:a16="http://schemas.microsoft.com/office/drawing/2014/main" id="{943B16BD-72EB-FEC9-F172-4CD9BF8BE59D}"/>
              </a:ext>
            </a:extLst>
          </xdr:cNvPr>
          <xdr:cNvCxnSpPr/>
        </xdr:nvCxnSpPr>
        <xdr:spPr>
          <a:xfrm rot="2700000">
            <a:off x="11151776" y="4043620"/>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250FFDD5-22EE-D37D-3EFD-79B2C76FB216}"/>
              </a:ext>
            </a:extLst>
          </xdr:cNvPr>
          <xdr:cNvCxnSpPr/>
        </xdr:nvCxnSpPr>
        <xdr:spPr>
          <a:xfrm rot="18900000" flipH="1">
            <a:off x="11151774" y="4039902"/>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304622</xdr:colOff>
      <xdr:row>21</xdr:row>
      <xdr:rowOff>34275</xdr:rowOff>
    </xdr:from>
    <xdr:to>
      <xdr:col>20</xdr:col>
      <xdr:colOff>60782</xdr:colOff>
      <xdr:row>33</xdr:row>
      <xdr:rowOff>43196</xdr:rowOff>
    </xdr:to>
    <xdr:graphicFrame macro="">
      <xdr:nvGraphicFramePr>
        <xdr:cNvPr id="35" name="Chart 34">
          <a:extLst>
            <a:ext uri="{FF2B5EF4-FFF2-40B4-BE49-F238E27FC236}">
              <a16:creationId xmlns:a16="http://schemas.microsoft.com/office/drawing/2014/main" id="{52715FA8-1985-4F2E-8B45-4EAB46375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18</xdr:row>
      <xdr:rowOff>152400</xdr:rowOff>
    </xdr:from>
    <xdr:to>
      <xdr:col>19</xdr:col>
      <xdr:colOff>434340</xdr:colOff>
      <xdr:row>21</xdr:row>
      <xdr:rowOff>121920</xdr:rowOff>
    </xdr:to>
    <xdr:sp macro="" textlink="Processing!L7">
      <xdr:nvSpPr>
        <xdr:cNvPr id="36" name="TextBox 35">
          <a:extLst>
            <a:ext uri="{FF2B5EF4-FFF2-40B4-BE49-F238E27FC236}">
              <a16:creationId xmlns:a16="http://schemas.microsoft.com/office/drawing/2014/main" id="{C750ACF2-A15E-451C-A3A6-3E7718833623}"/>
            </a:ext>
          </a:extLst>
        </xdr:cNvPr>
        <xdr:cNvSpPr txBox="1"/>
      </xdr:nvSpPr>
      <xdr:spPr>
        <a:xfrm>
          <a:off x="102489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B84F59-3F6B-403C-BD49-0165DBED0218}"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ctr"/>
            <a:t>Coverage</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163612</xdr:colOff>
      <xdr:row>20</xdr:row>
      <xdr:rowOff>114299</xdr:rowOff>
    </xdr:from>
    <xdr:to>
      <xdr:col>16</xdr:col>
      <xdr:colOff>72172</xdr:colOff>
      <xdr:row>33</xdr:row>
      <xdr:rowOff>114299</xdr:rowOff>
    </xdr:to>
    <xdr:graphicFrame macro="">
      <xdr:nvGraphicFramePr>
        <xdr:cNvPr id="37" name="Chart 36">
          <a:extLst>
            <a:ext uri="{FF2B5EF4-FFF2-40B4-BE49-F238E27FC236}">
              <a16:creationId xmlns:a16="http://schemas.microsoft.com/office/drawing/2014/main" id="{5923668F-6613-478B-938F-2D277E610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152400</xdr:colOff>
      <xdr:row>18</xdr:row>
      <xdr:rowOff>152400</xdr:rowOff>
    </xdr:from>
    <xdr:to>
      <xdr:col>16</xdr:col>
      <xdr:colOff>91440</xdr:colOff>
      <xdr:row>21</xdr:row>
      <xdr:rowOff>121920</xdr:rowOff>
    </xdr:to>
    <xdr:sp macro="" textlink="Processing!Q1">
      <xdr:nvSpPr>
        <xdr:cNvPr id="38" name="TextBox 37">
          <a:extLst>
            <a:ext uri="{FF2B5EF4-FFF2-40B4-BE49-F238E27FC236}">
              <a16:creationId xmlns:a16="http://schemas.microsoft.com/office/drawing/2014/main" id="{785A0468-712F-4F96-AA81-EA2149C1E642}"/>
            </a:ext>
          </a:extLst>
        </xdr:cNvPr>
        <xdr:cNvSpPr txBox="1"/>
      </xdr:nvSpPr>
      <xdr:spPr>
        <a:xfrm>
          <a:off x="80772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ADF-BB5E-4C30-9F21-2092403B10E1}"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ctr"/>
            <a:t>Subscribers</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264322</xdr:colOff>
      <xdr:row>14</xdr:row>
      <xdr:rowOff>114300</xdr:rowOff>
    </xdr:from>
    <xdr:to>
      <xdr:col>12</xdr:col>
      <xdr:colOff>386242</xdr:colOff>
      <xdr:row>17</xdr:row>
      <xdr:rowOff>114300</xdr:rowOff>
    </xdr:to>
    <xdr:graphicFrame macro="">
      <xdr:nvGraphicFramePr>
        <xdr:cNvPr id="39" name="Chart 38">
          <a:extLst>
            <a:ext uri="{FF2B5EF4-FFF2-40B4-BE49-F238E27FC236}">
              <a16:creationId xmlns:a16="http://schemas.microsoft.com/office/drawing/2014/main" id="{A07CCC3C-D998-49B5-A200-C9902542D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161925</xdr:colOff>
          <xdr:row>14</xdr:row>
          <xdr:rowOff>171450</xdr:rowOff>
        </xdr:from>
        <xdr:to>
          <xdr:col>12</xdr:col>
          <xdr:colOff>304800</xdr:colOff>
          <xdr:row>17</xdr:row>
          <xdr:rowOff>9525</xdr:rowOff>
        </xdr:to>
        <xdr:sp macro="" textlink="">
          <xdr:nvSpPr>
            <xdr:cNvPr id="12289" name="Check Box 1" hidden="1">
              <a:extLst>
                <a:ext uri="{63B3BB69-23CF-44E3-9099-C40C66FF867C}">
                  <a14:compatExt spid="_x0000_s12289"/>
                </a:ext>
                <a:ext uri="{FF2B5EF4-FFF2-40B4-BE49-F238E27FC236}">
                  <a16:creationId xmlns:a16="http://schemas.microsoft.com/office/drawing/2014/main" id="{00000000-0008-0000-02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152400</xdr:colOff>
      <xdr:row>15</xdr:row>
      <xdr:rowOff>106680</xdr:rowOff>
    </xdr:from>
    <xdr:to>
      <xdr:col>11</xdr:col>
      <xdr:colOff>350520</xdr:colOff>
      <xdr:row>16</xdr:row>
      <xdr:rowOff>99060</xdr:rowOff>
    </xdr:to>
    <xdr:sp macro="" textlink="">
      <xdr:nvSpPr>
        <xdr:cNvPr id="40" name="Rectangle 39">
          <a:extLst>
            <a:ext uri="{FF2B5EF4-FFF2-40B4-BE49-F238E27FC236}">
              <a16:creationId xmlns:a16="http://schemas.microsoft.com/office/drawing/2014/main" id="{867628BA-D710-45E9-9831-508EF1A8DBC6}"/>
            </a:ext>
          </a:extLst>
        </xdr:cNvPr>
        <xdr:cNvSpPr/>
      </xdr:nvSpPr>
      <xdr:spPr>
        <a:xfrm>
          <a:off x="6858000" y="2849880"/>
          <a:ext cx="198120" cy="175260"/>
        </a:xfrm>
        <a:prstGeom prst="rect">
          <a:avLst/>
        </a:prstGeom>
        <a:solidFill>
          <a:srgbClr val="4C4D8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13</xdr:col>
      <xdr:colOff>186472</xdr:colOff>
      <xdr:row>32</xdr:row>
      <xdr:rowOff>167640</xdr:rowOff>
    </xdr:from>
    <xdr:to>
      <xdr:col>16</xdr:col>
      <xdr:colOff>49312</xdr:colOff>
      <xdr:row>35</xdr:row>
      <xdr:rowOff>48768</xdr:rowOff>
    </xdr:to>
    <mc:AlternateContent xmlns:mc="http://schemas.openxmlformats.org/markup-compatibility/2006" xmlns:a14="http://schemas.microsoft.com/office/drawing/2010/main">
      <mc:Choice Requires="a14">
        <xdr:graphicFrame macro="">
          <xdr:nvGraphicFramePr>
            <xdr:cNvPr id="41" name="Year 3">
              <a:extLst>
                <a:ext uri="{FF2B5EF4-FFF2-40B4-BE49-F238E27FC236}">
                  <a16:creationId xmlns:a16="http://schemas.microsoft.com/office/drawing/2014/main" id="{52882B7F-9A6D-457D-A961-CFE1A66B81A2}"/>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8111272" y="6019800"/>
              <a:ext cx="16916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8</xdr:row>
      <xdr:rowOff>99060</xdr:rowOff>
    </xdr:from>
    <xdr:to>
      <xdr:col>7</xdr:col>
      <xdr:colOff>220980</xdr:colOff>
      <xdr:row>11</xdr:row>
      <xdr:rowOff>68580</xdr:rowOff>
    </xdr:to>
    <xdr:sp macro="" textlink="Processing!Q1">
      <xdr:nvSpPr>
        <xdr:cNvPr id="42" name="TextBox 41">
          <a:extLst>
            <a:ext uri="{FF2B5EF4-FFF2-40B4-BE49-F238E27FC236}">
              <a16:creationId xmlns:a16="http://schemas.microsoft.com/office/drawing/2014/main" id="{F8C6BC55-2371-484B-AFEA-F009EDA8789D}"/>
            </a:ext>
          </a:extLst>
        </xdr:cNvPr>
        <xdr:cNvSpPr txBox="1"/>
      </xdr:nvSpPr>
      <xdr:spPr>
        <a:xfrm>
          <a:off x="2720340" y="1562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ABADF-BB5E-4C30-9F21-2092403B10E1}"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Subscribers</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8</xdr:row>
      <xdr:rowOff>99060</xdr:rowOff>
    </xdr:from>
    <xdr:to>
      <xdr:col>10</xdr:col>
      <xdr:colOff>373380</xdr:colOff>
      <xdr:row>11</xdr:row>
      <xdr:rowOff>68580</xdr:rowOff>
    </xdr:to>
    <xdr:sp macro="" textlink="Processing!B2">
      <xdr:nvSpPr>
        <xdr:cNvPr id="43" name="TextBox 42">
          <a:extLst>
            <a:ext uri="{FF2B5EF4-FFF2-40B4-BE49-F238E27FC236}">
              <a16:creationId xmlns:a16="http://schemas.microsoft.com/office/drawing/2014/main" id="{6DD4358C-BEDE-4B5A-A9A5-C3B1E8E2001A}"/>
            </a:ext>
          </a:extLst>
        </xdr:cNvPr>
        <xdr:cNvSpPr txBox="1"/>
      </xdr:nvSpPr>
      <xdr:spPr>
        <a:xfrm>
          <a:off x="5372100" y="1562100"/>
          <a:ext cx="10972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Revenue</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79979</xdr:colOff>
      <xdr:row>7</xdr:row>
      <xdr:rowOff>163799</xdr:rowOff>
    </xdr:from>
    <xdr:to>
      <xdr:col>12</xdr:col>
      <xdr:colOff>201899</xdr:colOff>
      <xdr:row>11</xdr:row>
      <xdr:rowOff>163799</xdr:rowOff>
    </xdr:to>
    <xdr:graphicFrame macro="">
      <xdr:nvGraphicFramePr>
        <xdr:cNvPr id="44" name="Chart 43">
          <a:extLst>
            <a:ext uri="{FF2B5EF4-FFF2-40B4-BE49-F238E27FC236}">
              <a16:creationId xmlns:a16="http://schemas.microsoft.com/office/drawing/2014/main" id="{C2CC9FF1-510C-440D-B84B-406DA11F4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121920</xdr:colOff>
      <xdr:row>9</xdr:row>
      <xdr:rowOff>0</xdr:rowOff>
    </xdr:from>
    <xdr:to>
      <xdr:col>12</xdr:col>
      <xdr:colOff>160020</xdr:colOff>
      <xdr:row>10</xdr:row>
      <xdr:rowOff>144780</xdr:rowOff>
    </xdr:to>
    <xdr:sp macro="" textlink="Processing!Q12">
      <xdr:nvSpPr>
        <xdr:cNvPr id="45" name="TextBox 44">
          <a:extLst>
            <a:ext uri="{FF2B5EF4-FFF2-40B4-BE49-F238E27FC236}">
              <a16:creationId xmlns:a16="http://schemas.microsoft.com/office/drawing/2014/main" id="{CE264B06-5972-4950-B769-99B664009A85}"/>
            </a:ext>
          </a:extLst>
        </xdr:cNvPr>
        <xdr:cNvSpPr txBox="1"/>
      </xdr:nvSpPr>
      <xdr:spPr>
        <a:xfrm>
          <a:off x="682752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CDAE6F-69B6-4866-BB6D-4252AC533E3A}"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92%</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10</xdr:col>
      <xdr:colOff>228600</xdr:colOff>
      <xdr:row>9</xdr:row>
      <xdr:rowOff>0</xdr:rowOff>
    </xdr:from>
    <xdr:to>
      <xdr:col>11</xdr:col>
      <xdr:colOff>266700</xdr:colOff>
      <xdr:row>10</xdr:row>
      <xdr:rowOff>144780</xdr:rowOff>
    </xdr:to>
    <xdr:sp macro="" textlink="Processing!P12">
      <xdr:nvSpPr>
        <xdr:cNvPr id="46" name="TextBox 45">
          <a:extLst>
            <a:ext uri="{FF2B5EF4-FFF2-40B4-BE49-F238E27FC236}">
              <a16:creationId xmlns:a16="http://schemas.microsoft.com/office/drawing/2014/main" id="{5DE1B30D-A110-4072-8E8C-7311FD410427}"/>
            </a:ext>
          </a:extLst>
        </xdr:cNvPr>
        <xdr:cNvSpPr txBox="1"/>
      </xdr:nvSpPr>
      <xdr:spPr>
        <a:xfrm>
          <a:off x="632460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543358-55A4-48F1-B6CD-225A712D7FB0}"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Target</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editAs="oneCell">
    <xdr:from>
      <xdr:col>4</xdr:col>
      <xdr:colOff>358140</xdr:colOff>
      <xdr:row>32</xdr:row>
      <xdr:rowOff>167640</xdr:rowOff>
    </xdr:from>
    <xdr:to>
      <xdr:col>12</xdr:col>
      <xdr:colOff>236220</xdr:colOff>
      <xdr:row>35</xdr:row>
      <xdr:rowOff>48768</xdr:rowOff>
    </xdr:to>
    <mc:AlternateContent xmlns:mc="http://schemas.openxmlformats.org/markup-compatibility/2006" xmlns:a14="http://schemas.microsoft.com/office/drawing/2010/main">
      <mc:Choice Requires="a14">
        <xdr:graphicFrame macro="">
          <xdr:nvGraphicFramePr>
            <xdr:cNvPr id="54" name="Month 3">
              <a:extLst>
                <a:ext uri="{FF2B5EF4-FFF2-40B4-BE49-F238E27FC236}">
                  <a16:creationId xmlns:a16="http://schemas.microsoft.com/office/drawing/2014/main" id="{478F5845-F1DE-4454-8A16-2FDFEC1A5853}"/>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2796540" y="60198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541501</xdr:colOff>
      <xdr:row>16</xdr:row>
      <xdr:rowOff>88699</xdr:rowOff>
    </xdr:from>
    <xdr:to>
      <xdr:col>11</xdr:col>
      <xdr:colOff>418263</xdr:colOff>
      <xdr:row>32</xdr:row>
      <xdr:rowOff>95452</xdr:rowOff>
    </xdr:to>
    <xdr:graphicFrame macro="">
      <xdr:nvGraphicFramePr>
        <xdr:cNvPr id="56" name="Chart 55">
          <a:extLst>
            <a:ext uri="{FF2B5EF4-FFF2-40B4-BE49-F238E27FC236}">
              <a16:creationId xmlns:a16="http://schemas.microsoft.com/office/drawing/2014/main" id="{311B716A-3AEA-7D68-EE7B-690924D4D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136439</xdr:colOff>
      <xdr:row>17</xdr:row>
      <xdr:rowOff>36405</xdr:rowOff>
    </xdr:from>
    <xdr:to>
      <xdr:col>12</xdr:col>
      <xdr:colOff>351242</xdr:colOff>
      <xdr:row>19</xdr:row>
      <xdr:rowOff>24556</xdr:rowOff>
    </xdr:to>
    <xdr:sp macro="" textlink="Processing!N7">
      <xdr:nvSpPr>
        <xdr:cNvPr id="58" name="TextBox 57">
          <a:extLst>
            <a:ext uri="{FF2B5EF4-FFF2-40B4-BE49-F238E27FC236}">
              <a16:creationId xmlns:a16="http://schemas.microsoft.com/office/drawing/2014/main" id="{E5E3EB60-DAEF-AD44-457E-079AD69F6E46}"/>
            </a:ext>
          </a:extLst>
        </xdr:cNvPr>
        <xdr:cNvSpPr txBox="1"/>
      </xdr:nvSpPr>
      <xdr:spPr>
        <a:xfrm>
          <a:off x="6842039" y="3145365"/>
          <a:ext cx="824403"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ED198B-6099-4A8D-9524-860B321957BA}" type="TxLink">
            <a:rPr lang="en-US" sz="1400" b="0" i="0" u="none" strike="noStrike">
              <a:solidFill>
                <a:schemeClr val="bg1"/>
              </a:solidFill>
              <a:latin typeface="Aptos Narrow"/>
              <a:ea typeface="Verdana" panose="020B0604030504040204" pitchFamily="34" charset="0"/>
              <a:cs typeface="Calibri" panose="020F0502020204030204" pitchFamily="34" charset="0"/>
            </a:rPr>
            <a:pPr marL="0" indent="0" algn="ctr"/>
            <a:t>Target</a:t>
          </a:fld>
          <a:endParaRPr lang="ru-RU" sz="44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136439</xdr:colOff>
      <xdr:row>19</xdr:row>
      <xdr:rowOff>5925</xdr:rowOff>
    </xdr:from>
    <xdr:to>
      <xdr:col>12</xdr:col>
      <xdr:colOff>351242</xdr:colOff>
      <xdr:row>20</xdr:row>
      <xdr:rowOff>176956</xdr:rowOff>
    </xdr:to>
    <xdr:sp macro="" textlink="Processing!N8">
      <xdr:nvSpPr>
        <xdr:cNvPr id="59" name="TextBox 58">
          <a:extLst>
            <a:ext uri="{FF2B5EF4-FFF2-40B4-BE49-F238E27FC236}">
              <a16:creationId xmlns:a16="http://schemas.microsoft.com/office/drawing/2014/main" id="{80BA0B90-88A4-9A7E-D0C5-17B0A43033D1}"/>
            </a:ext>
          </a:extLst>
        </xdr:cNvPr>
        <xdr:cNvSpPr txBox="1"/>
      </xdr:nvSpPr>
      <xdr:spPr>
        <a:xfrm>
          <a:off x="6842039" y="3480645"/>
          <a:ext cx="824403"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9A9ECD2-5034-4CD1-9379-DC8EB68149D3}" type="TxLink">
            <a:rPr lang="en-US" sz="1400" b="0" i="0" u="none" strike="noStrike">
              <a:solidFill>
                <a:schemeClr val="bg1"/>
              </a:solidFill>
              <a:latin typeface="Aptos Narrow"/>
              <a:ea typeface="Verdana" panose="020B0604030504040204" pitchFamily="34" charset="0"/>
              <a:cs typeface="Calibri" panose="020F0502020204030204" pitchFamily="34" charset="0"/>
            </a:rPr>
            <a:pPr marL="0" indent="0" algn="ctr"/>
            <a:t>80%</a:t>
          </a:fld>
          <a:endParaRPr lang="ru-RU" sz="66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4</xdr:col>
      <xdr:colOff>99060</xdr:colOff>
      <xdr:row>14</xdr:row>
      <xdr:rowOff>68580</xdr:rowOff>
    </xdr:from>
    <xdr:to>
      <xdr:col>6</xdr:col>
      <xdr:colOff>121920</xdr:colOff>
      <xdr:row>17</xdr:row>
      <xdr:rowOff>38100</xdr:rowOff>
    </xdr:to>
    <xdr:sp macro="" textlink="Processing!L7">
      <xdr:nvSpPr>
        <xdr:cNvPr id="61" name="TextBox 60">
          <a:extLst>
            <a:ext uri="{FF2B5EF4-FFF2-40B4-BE49-F238E27FC236}">
              <a16:creationId xmlns:a16="http://schemas.microsoft.com/office/drawing/2014/main" id="{563E48BE-FB20-5F00-DB68-1126B68C8C96}"/>
            </a:ext>
          </a:extLst>
        </xdr:cNvPr>
        <xdr:cNvSpPr txBox="1"/>
      </xdr:nvSpPr>
      <xdr:spPr>
        <a:xfrm>
          <a:off x="2537460" y="2628900"/>
          <a:ext cx="12420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1B84F59-3F6B-403C-BD49-0165DBED0218}"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l"/>
            <a:t>Coverage</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5</xdr:col>
      <xdr:colOff>548640</xdr:colOff>
      <xdr:row>14</xdr:row>
      <xdr:rowOff>83820</xdr:rowOff>
    </xdr:from>
    <xdr:to>
      <xdr:col>7</xdr:col>
      <xdr:colOff>571500</xdr:colOff>
      <xdr:row>17</xdr:row>
      <xdr:rowOff>53340</xdr:rowOff>
    </xdr:to>
    <xdr:sp macro="" textlink="Processing!L16">
      <xdr:nvSpPr>
        <xdr:cNvPr id="62" name="TextBox 61">
          <a:extLst>
            <a:ext uri="{FF2B5EF4-FFF2-40B4-BE49-F238E27FC236}">
              <a16:creationId xmlns:a16="http://schemas.microsoft.com/office/drawing/2014/main" id="{CEB864AE-CBB9-60FB-10B5-1EB053FF7894}"/>
            </a:ext>
          </a:extLst>
        </xdr:cNvPr>
        <xdr:cNvSpPr txBox="1"/>
      </xdr:nvSpPr>
      <xdr:spPr>
        <a:xfrm>
          <a:off x="3596640" y="2644140"/>
          <a:ext cx="12420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C89891D-CE1B-4B62-B1EB-E255AEE048EF}"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74%</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274320</xdr:colOff>
      <xdr:row>4</xdr:row>
      <xdr:rowOff>152400</xdr:rowOff>
    </xdr:from>
    <xdr:to>
      <xdr:col>12</xdr:col>
      <xdr:colOff>365760</xdr:colOff>
      <xdr:row>12</xdr:row>
      <xdr:rowOff>7620</xdr:rowOff>
    </xdr:to>
    <xdr:sp macro="" textlink="">
      <xdr:nvSpPr>
        <xdr:cNvPr id="63" name="Rectangle: Rounded Corners 62">
          <a:hlinkClick xmlns:r="http://schemas.openxmlformats.org/officeDocument/2006/relationships" r:id="rId7"/>
          <a:extLst>
            <a:ext uri="{FF2B5EF4-FFF2-40B4-BE49-F238E27FC236}">
              <a16:creationId xmlns:a16="http://schemas.microsoft.com/office/drawing/2014/main" id="{7ECF5E0A-EAD5-41E9-AE10-80FB692F5647}"/>
            </a:ext>
          </a:extLst>
        </xdr:cNvPr>
        <xdr:cNvSpPr/>
      </xdr:nvSpPr>
      <xdr:spPr>
        <a:xfrm>
          <a:off x="5151120" y="883920"/>
          <a:ext cx="252984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137160</xdr:colOff>
      <xdr:row>4</xdr:row>
      <xdr:rowOff>15240</xdr:rowOff>
    </xdr:from>
    <xdr:to>
      <xdr:col>20</xdr:col>
      <xdr:colOff>22860</xdr:colOff>
      <xdr:row>17</xdr:row>
      <xdr:rowOff>99060</xdr:rowOff>
    </xdr:to>
    <xdr:sp macro="" textlink="">
      <xdr:nvSpPr>
        <xdr:cNvPr id="12288" name="Rectangle: Rounded Corners 12287">
          <a:hlinkClick xmlns:r="http://schemas.openxmlformats.org/officeDocument/2006/relationships" r:id="rId8"/>
          <a:extLst>
            <a:ext uri="{FF2B5EF4-FFF2-40B4-BE49-F238E27FC236}">
              <a16:creationId xmlns:a16="http://schemas.microsoft.com/office/drawing/2014/main" id="{15DEAEE5-3B62-449D-BA49-13A654D22CE4}"/>
            </a:ext>
          </a:extLst>
        </xdr:cNvPr>
        <xdr:cNvSpPr/>
      </xdr:nvSpPr>
      <xdr:spPr>
        <a:xfrm>
          <a:off x="8061960" y="746760"/>
          <a:ext cx="4152900" cy="2461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121920</xdr:colOff>
      <xdr:row>18</xdr:row>
      <xdr:rowOff>114300</xdr:rowOff>
    </xdr:from>
    <xdr:to>
      <xdr:col>16</xdr:col>
      <xdr:colOff>144780</xdr:colOff>
      <xdr:row>32</xdr:row>
      <xdr:rowOff>114300</xdr:rowOff>
    </xdr:to>
    <xdr:sp macro="" textlink="">
      <xdr:nvSpPr>
        <xdr:cNvPr id="12290" name="Rectangle: Rounded Corners 12289">
          <a:hlinkClick xmlns:r="http://schemas.openxmlformats.org/officeDocument/2006/relationships" r:id="rId9"/>
          <a:extLst>
            <a:ext uri="{FF2B5EF4-FFF2-40B4-BE49-F238E27FC236}">
              <a16:creationId xmlns:a16="http://schemas.microsoft.com/office/drawing/2014/main" id="{BE05E1E2-D578-4DA0-8BAE-E74EA49F03D6}"/>
            </a:ext>
          </a:extLst>
        </xdr:cNvPr>
        <xdr:cNvSpPr/>
      </xdr:nvSpPr>
      <xdr:spPr>
        <a:xfrm>
          <a:off x="8046720" y="3406140"/>
          <a:ext cx="1851660" cy="25603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358140</xdr:colOff>
      <xdr:row>18</xdr:row>
      <xdr:rowOff>114300</xdr:rowOff>
    </xdr:from>
    <xdr:to>
      <xdr:col>20</xdr:col>
      <xdr:colOff>38100</xdr:colOff>
      <xdr:row>35</xdr:row>
      <xdr:rowOff>144780</xdr:rowOff>
    </xdr:to>
    <xdr:sp macro="" textlink="">
      <xdr:nvSpPr>
        <xdr:cNvPr id="12291" name="Rectangle: Rounded Corners 12290">
          <a:hlinkClick xmlns:r="http://schemas.openxmlformats.org/officeDocument/2006/relationships" r:id="rId10"/>
          <a:extLst>
            <a:ext uri="{FF2B5EF4-FFF2-40B4-BE49-F238E27FC236}">
              <a16:creationId xmlns:a16="http://schemas.microsoft.com/office/drawing/2014/main" id="{AB654B73-5346-479C-926B-AA960EA43A43}"/>
            </a:ext>
          </a:extLst>
        </xdr:cNvPr>
        <xdr:cNvSpPr/>
      </xdr:nvSpPr>
      <xdr:spPr>
        <a:xfrm>
          <a:off x="10111740" y="3406140"/>
          <a:ext cx="2118360" cy="313944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99060</xdr:colOff>
      <xdr:row>4</xdr:row>
      <xdr:rowOff>152400</xdr:rowOff>
    </xdr:from>
    <xdr:to>
      <xdr:col>7</xdr:col>
      <xdr:colOff>426720</xdr:colOff>
      <xdr:row>12</xdr:row>
      <xdr:rowOff>7620</xdr:rowOff>
    </xdr:to>
    <xdr:sp macro="" textlink="">
      <xdr:nvSpPr>
        <xdr:cNvPr id="12292" name="Rectangle: Rounded Corners 12291">
          <a:hlinkClick xmlns:r="http://schemas.openxmlformats.org/officeDocument/2006/relationships" r:id="rId11"/>
          <a:extLst>
            <a:ext uri="{FF2B5EF4-FFF2-40B4-BE49-F238E27FC236}">
              <a16:creationId xmlns:a16="http://schemas.microsoft.com/office/drawing/2014/main" id="{FAA7DD6E-C3C0-43B1-9097-6843AA16E5A6}"/>
            </a:ext>
          </a:extLst>
        </xdr:cNvPr>
        <xdr:cNvSpPr/>
      </xdr:nvSpPr>
      <xdr:spPr>
        <a:xfrm>
          <a:off x="2537460" y="883920"/>
          <a:ext cx="215646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158639</xdr:colOff>
      <xdr:row>4</xdr:row>
      <xdr:rowOff>71505</xdr:rowOff>
    </xdr:from>
    <xdr:to>
      <xdr:col>0</xdr:col>
      <xdr:colOff>432959</xdr:colOff>
      <xdr:row>5</xdr:row>
      <xdr:rowOff>143053</xdr:rowOff>
    </xdr:to>
    <xdr:grpSp>
      <xdr:nvGrpSpPr>
        <xdr:cNvPr id="48" name="Group 47">
          <a:hlinkClick xmlns:r="http://schemas.openxmlformats.org/officeDocument/2006/relationships" r:id="rId12"/>
          <a:extLst>
            <a:ext uri="{FF2B5EF4-FFF2-40B4-BE49-F238E27FC236}">
              <a16:creationId xmlns:a16="http://schemas.microsoft.com/office/drawing/2014/main" id="{AEA0B187-B3A4-E5AF-F747-B498E2F727A5}"/>
            </a:ext>
          </a:extLst>
        </xdr:cNvPr>
        <xdr:cNvGrpSpPr/>
      </xdr:nvGrpSpPr>
      <xdr:grpSpPr>
        <a:xfrm>
          <a:off x="158639" y="833505"/>
          <a:ext cx="274320" cy="262048"/>
          <a:chOff x="2657199" y="8924774"/>
          <a:chExt cx="796566" cy="720791"/>
        </a:xfrm>
      </xdr:grpSpPr>
      <xdr:sp macro="" textlink="">
        <xdr:nvSpPr>
          <xdr:cNvPr id="52" name="Freeform: Shape 51">
            <a:extLst>
              <a:ext uri="{FF2B5EF4-FFF2-40B4-BE49-F238E27FC236}">
                <a16:creationId xmlns:a16="http://schemas.microsoft.com/office/drawing/2014/main" id="{3894E22C-8BFD-A4A8-B672-238871FCCED4}"/>
              </a:ext>
            </a:extLst>
          </xdr:cNvPr>
          <xdr:cNvSpPr/>
        </xdr:nvSpPr>
        <xdr:spPr>
          <a:xfrm>
            <a:off x="3139440" y="8924774"/>
            <a:ext cx="38100" cy="115904"/>
          </a:xfrm>
          <a:custGeom>
            <a:avLst/>
            <a:gdLst>
              <a:gd name="connsiteX0" fmla="*/ 0 w 38100"/>
              <a:gd name="connsiteY0" fmla="*/ 0 h 114300"/>
              <a:gd name="connsiteX1" fmla="*/ 38100 w 38100"/>
              <a:gd name="connsiteY1" fmla="*/ 0 h 114300"/>
              <a:gd name="connsiteX2" fmla="*/ 38100 w 38100"/>
              <a:gd name="connsiteY2" fmla="*/ 114300 h 114300"/>
              <a:gd name="connsiteX3" fmla="*/ 0 w 38100"/>
              <a:gd name="connsiteY3" fmla="*/ 114300 h 114300"/>
            </a:gdLst>
            <a:ahLst/>
            <a:cxnLst>
              <a:cxn ang="0">
                <a:pos x="connsiteX0" y="connsiteY0"/>
              </a:cxn>
              <a:cxn ang="0">
                <a:pos x="connsiteX1" y="connsiteY1"/>
              </a:cxn>
              <a:cxn ang="0">
                <a:pos x="connsiteX2" y="connsiteY2"/>
              </a:cxn>
              <a:cxn ang="0">
                <a:pos x="connsiteX3" y="connsiteY3"/>
              </a:cxn>
            </a:cxnLst>
            <a:rect l="l" t="t" r="r" b="b"/>
            <a:pathLst>
              <a:path w="38100" h="114300">
                <a:moveTo>
                  <a:pt x="0" y="0"/>
                </a:moveTo>
                <a:lnTo>
                  <a:pt x="38100" y="0"/>
                </a:lnTo>
                <a:lnTo>
                  <a:pt x="38100" y="114300"/>
                </a:lnTo>
                <a:lnTo>
                  <a:pt x="0" y="114300"/>
                </a:lnTo>
                <a:close/>
              </a:path>
            </a:pathLst>
          </a:custGeom>
          <a:solidFill>
            <a:srgbClr val="E993EB"/>
          </a:solidFill>
          <a:ln w="9525" cap="flat">
            <a:noFill/>
            <a:prstDash val="solid"/>
            <a:miter/>
          </a:ln>
        </xdr:spPr>
        <xdr:txBody>
          <a:bodyPr rtlCol="0" anchor="ctr"/>
          <a:lstStyle/>
          <a:p>
            <a:endParaRPr lang="ru-RU"/>
          </a:p>
        </xdr:txBody>
      </xdr:sp>
      <xdr:sp macro="" textlink="">
        <xdr:nvSpPr>
          <xdr:cNvPr id="53" name="Freeform: Shape 52">
            <a:extLst>
              <a:ext uri="{FF2B5EF4-FFF2-40B4-BE49-F238E27FC236}">
                <a16:creationId xmlns:a16="http://schemas.microsoft.com/office/drawing/2014/main" id="{38E5876C-BE39-1497-9876-2DA3E41FD376}"/>
              </a:ext>
            </a:extLst>
          </xdr:cNvPr>
          <xdr:cNvSpPr/>
        </xdr:nvSpPr>
        <xdr:spPr>
          <a:xfrm rot="8100000">
            <a:off x="3270350" y="9032599"/>
            <a:ext cx="114298" cy="39703"/>
          </a:xfrm>
          <a:custGeom>
            <a:avLst/>
            <a:gdLst>
              <a:gd name="connsiteX0" fmla="*/ 0 w 114298"/>
              <a:gd name="connsiteY0" fmla="*/ 0 h 38099"/>
              <a:gd name="connsiteX1" fmla="*/ 114299 w 114298"/>
              <a:gd name="connsiteY1" fmla="*/ 0 h 38099"/>
              <a:gd name="connsiteX2" fmla="*/ 114299 w 114298"/>
              <a:gd name="connsiteY2" fmla="*/ 38100 h 38099"/>
              <a:gd name="connsiteX3" fmla="*/ 0 w 114298"/>
              <a:gd name="connsiteY3" fmla="*/ 38100 h 38099"/>
            </a:gdLst>
            <a:ahLst/>
            <a:cxnLst>
              <a:cxn ang="0">
                <a:pos x="connsiteX0" y="connsiteY0"/>
              </a:cxn>
              <a:cxn ang="0">
                <a:pos x="connsiteX1" y="connsiteY1"/>
              </a:cxn>
              <a:cxn ang="0">
                <a:pos x="connsiteX2" y="connsiteY2"/>
              </a:cxn>
              <a:cxn ang="0">
                <a:pos x="connsiteX3" y="connsiteY3"/>
              </a:cxn>
            </a:cxnLst>
            <a:rect l="l" t="t" r="r" b="b"/>
            <a:pathLst>
              <a:path w="114298" h="38099">
                <a:moveTo>
                  <a:pt x="0" y="0"/>
                </a:moveTo>
                <a:lnTo>
                  <a:pt x="114299" y="0"/>
                </a:lnTo>
                <a:lnTo>
                  <a:pt x="114299"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55" name="Freeform: Shape 54">
            <a:extLst>
              <a:ext uri="{FF2B5EF4-FFF2-40B4-BE49-F238E27FC236}">
                <a16:creationId xmlns:a16="http://schemas.microsoft.com/office/drawing/2014/main" id="{3B6989F7-2FFB-3472-2162-FE975871DF27}"/>
              </a:ext>
            </a:extLst>
          </xdr:cNvPr>
          <xdr:cNvSpPr/>
        </xdr:nvSpPr>
        <xdr:spPr>
          <a:xfrm>
            <a:off x="3339465" y="9202603"/>
            <a:ext cx="114300" cy="39705"/>
          </a:xfrm>
          <a:custGeom>
            <a:avLst/>
            <a:gdLst>
              <a:gd name="connsiteX0" fmla="*/ 0 w 114300"/>
              <a:gd name="connsiteY0" fmla="*/ 0 h 38100"/>
              <a:gd name="connsiteX1" fmla="*/ 114300 w 114300"/>
              <a:gd name="connsiteY1" fmla="*/ 0 h 38100"/>
              <a:gd name="connsiteX2" fmla="*/ 114300 w 114300"/>
              <a:gd name="connsiteY2" fmla="*/ 38100 h 38100"/>
              <a:gd name="connsiteX3" fmla="*/ 0 w 114300"/>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300"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57" name="Freeform: Shape 56">
            <a:extLst>
              <a:ext uri="{FF2B5EF4-FFF2-40B4-BE49-F238E27FC236}">
                <a16:creationId xmlns:a16="http://schemas.microsoft.com/office/drawing/2014/main" id="{BC4A4382-B3C8-CD17-3947-343B530E9188}"/>
              </a:ext>
            </a:extLst>
          </xdr:cNvPr>
          <xdr:cNvSpPr/>
        </xdr:nvSpPr>
        <xdr:spPr>
          <a:xfrm rot="8100000">
            <a:off x="3308256" y="9334274"/>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60" name="Freeform: Shape 59">
            <a:extLst>
              <a:ext uri="{FF2B5EF4-FFF2-40B4-BE49-F238E27FC236}">
                <a16:creationId xmlns:a16="http://schemas.microsoft.com/office/drawing/2014/main" id="{E62D435F-4AC3-9A3A-FB18-EC278292D52F}"/>
              </a:ext>
            </a:extLst>
          </xdr:cNvPr>
          <xdr:cNvSpPr/>
        </xdr:nvSpPr>
        <xdr:spPr>
          <a:xfrm>
            <a:off x="2863215" y="9202603"/>
            <a:ext cx="114299" cy="39705"/>
          </a:xfrm>
          <a:custGeom>
            <a:avLst/>
            <a:gdLst>
              <a:gd name="connsiteX0" fmla="*/ 0 w 114299"/>
              <a:gd name="connsiteY0" fmla="*/ 0 h 38100"/>
              <a:gd name="connsiteX1" fmla="*/ 114300 w 114299"/>
              <a:gd name="connsiteY1" fmla="*/ 0 h 38100"/>
              <a:gd name="connsiteX2" fmla="*/ 114300 w 114299"/>
              <a:gd name="connsiteY2" fmla="*/ 38100 h 38100"/>
              <a:gd name="connsiteX3" fmla="*/ 0 w 114299"/>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299"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12293" name="Freeform: Shape 12292">
            <a:extLst>
              <a:ext uri="{FF2B5EF4-FFF2-40B4-BE49-F238E27FC236}">
                <a16:creationId xmlns:a16="http://schemas.microsoft.com/office/drawing/2014/main" id="{4BCCA19D-9AFD-099E-7EA4-3D0D0089AAAB}"/>
              </a:ext>
            </a:extLst>
          </xdr:cNvPr>
          <xdr:cNvSpPr/>
        </xdr:nvSpPr>
        <xdr:spPr>
          <a:xfrm rot="8100000">
            <a:off x="2971204" y="8994981"/>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12294" name="Freeform: Shape 12293">
            <a:extLst>
              <a:ext uri="{FF2B5EF4-FFF2-40B4-BE49-F238E27FC236}">
                <a16:creationId xmlns:a16="http://schemas.microsoft.com/office/drawing/2014/main" id="{8AD7E301-3FB9-0ED1-2E21-1DCBCC8E05D1}"/>
              </a:ext>
            </a:extLst>
          </xdr:cNvPr>
          <xdr:cNvSpPr/>
        </xdr:nvSpPr>
        <xdr:spPr>
          <a:xfrm>
            <a:off x="2657199" y="9280147"/>
            <a:ext cx="651850" cy="365418"/>
          </a:xfrm>
          <a:custGeom>
            <a:avLst/>
            <a:gdLst>
              <a:gd name="connsiteX0" fmla="*/ 558440 w 651850"/>
              <a:gd name="connsiteY0" fmla="*/ 181236 h 362210"/>
              <a:gd name="connsiteX1" fmla="*/ 544153 w 651850"/>
              <a:gd name="connsiteY1" fmla="*/ 182188 h 362210"/>
              <a:gd name="connsiteX2" fmla="*/ 544153 w 651850"/>
              <a:gd name="connsiteY2" fmla="*/ 181236 h 362210"/>
              <a:gd name="connsiteX3" fmla="*/ 496528 w 651850"/>
              <a:gd name="connsiteY3" fmla="*/ 88843 h 362210"/>
              <a:gd name="connsiteX4" fmla="*/ 393658 w 651850"/>
              <a:gd name="connsiteY4" fmla="*/ 72651 h 362210"/>
              <a:gd name="connsiteX5" fmla="*/ 239353 w 651850"/>
              <a:gd name="connsiteY5" fmla="*/ 4071 h 362210"/>
              <a:gd name="connsiteX6" fmla="*/ 133625 w 651850"/>
              <a:gd name="connsiteY6" fmla="*/ 135516 h 362210"/>
              <a:gd name="connsiteX7" fmla="*/ 24088 w 651850"/>
              <a:gd name="connsiteY7" fmla="*/ 176473 h 362210"/>
              <a:gd name="connsiteX8" fmla="*/ 9800 w 651850"/>
              <a:gd name="connsiteY8" fmla="*/ 293631 h 362210"/>
              <a:gd name="connsiteX9" fmla="*/ 106955 w 651850"/>
              <a:gd name="connsiteY9" fmla="*/ 361258 h 362210"/>
              <a:gd name="connsiteX10" fmla="*/ 564155 w 651850"/>
              <a:gd name="connsiteY10" fmla="*/ 362211 h 362210"/>
              <a:gd name="connsiteX11" fmla="*/ 651785 w 651850"/>
              <a:gd name="connsiteY11" fmla="*/ 268866 h 362210"/>
              <a:gd name="connsiteX12" fmla="*/ 558440 w 651850"/>
              <a:gd name="connsiteY12" fmla="*/ 181236 h 362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51850" h="362210">
                <a:moveTo>
                  <a:pt x="558440" y="181236"/>
                </a:moveTo>
                <a:cubicBezTo>
                  <a:pt x="553678" y="181236"/>
                  <a:pt x="548915" y="181236"/>
                  <a:pt x="544153" y="182188"/>
                </a:cubicBezTo>
                <a:cubicBezTo>
                  <a:pt x="544153" y="182188"/>
                  <a:pt x="544153" y="181236"/>
                  <a:pt x="544153" y="181236"/>
                </a:cubicBezTo>
                <a:cubicBezTo>
                  <a:pt x="544153" y="145041"/>
                  <a:pt x="527008" y="109798"/>
                  <a:pt x="496528" y="88843"/>
                </a:cubicBezTo>
                <a:cubicBezTo>
                  <a:pt x="467000" y="66936"/>
                  <a:pt x="428900" y="61221"/>
                  <a:pt x="393658" y="72651"/>
                </a:cubicBezTo>
                <a:cubicBezTo>
                  <a:pt x="364130" y="17406"/>
                  <a:pt x="300313" y="-11169"/>
                  <a:pt x="239353" y="4071"/>
                </a:cubicBezTo>
                <a:cubicBezTo>
                  <a:pt x="178393" y="18358"/>
                  <a:pt x="135530" y="72651"/>
                  <a:pt x="133625" y="135516"/>
                </a:cubicBezTo>
                <a:cubicBezTo>
                  <a:pt x="93620" y="127896"/>
                  <a:pt x="50758" y="143136"/>
                  <a:pt x="24088" y="176473"/>
                </a:cubicBezTo>
                <a:cubicBezTo>
                  <a:pt x="-1630" y="209811"/>
                  <a:pt x="-7345" y="255531"/>
                  <a:pt x="9800" y="293631"/>
                </a:cubicBezTo>
                <a:cubicBezTo>
                  <a:pt x="26945" y="332683"/>
                  <a:pt x="64093" y="358401"/>
                  <a:pt x="106955" y="361258"/>
                </a:cubicBezTo>
                <a:lnTo>
                  <a:pt x="564155" y="362211"/>
                </a:lnTo>
                <a:cubicBezTo>
                  <a:pt x="613685" y="361258"/>
                  <a:pt x="653690" y="319348"/>
                  <a:pt x="651785" y="268866"/>
                </a:cubicBezTo>
                <a:cubicBezTo>
                  <a:pt x="650833" y="219336"/>
                  <a:pt x="608923" y="180283"/>
                  <a:pt x="558440" y="181236"/>
                </a:cubicBezTo>
                <a:close/>
              </a:path>
            </a:pathLst>
          </a:custGeom>
          <a:solidFill>
            <a:schemeClr val="bg1">
              <a:lumMod val="95000"/>
            </a:schemeClr>
          </a:solidFill>
          <a:ln w="9525" cap="flat">
            <a:noFill/>
            <a:prstDash val="solid"/>
            <a:miter/>
          </a:ln>
        </xdr:spPr>
        <xdr:txBody>
          <a:bodyPr rtlCol="0" anchor="ctr"/>
          <a:lstStyle/>
          <a:p>
            <a:endParaRPr lang="ru-RU"/>
          </a:p>
        </xdr:txBody>
      </xdr:sp>
      <xdr:sp macro="" textlink="">
        <xdr:nvSpPr>
          <xdr:cNvPr id="12295" name="Freeform: Shape 12294">
            <a:extLst>
              <a:ext uri="{FF2B5EF4-FFF2-40B4-BE49-F238E27FC236}">
                <a16:creationId xmlns:a16="http://schemas.microsoft.com/office/drawing/2014/main" id="{16844D60-FCF1-61C0-E386-0672A00E6C95}"/>
              </a:ext>
            </a:extLst>
          </xdr:cNvPr>
          <xdr:cNvSpPr/>
        </xdr:nvSpPr>
        <xdr:spPr>
          <a:xfrm>
            <a:off x="3015943" y="9078229"/>
            <a:ext cx="284955" cy="281236"/>
          </a:xfrm>
          <a:custGeom>
            <a:avLst/>
            <a:gdLst>
              <a:gd name="connsiteX0" fmla="*/ 7291 w 284955"/>
              <a:gd name="connsiteY0" fmla="*/ 189144 h 279631"/>
              <a:gd name="connsiteX1" fmla="*/ 53011 w 284955"/>
              <a:gd name="connsiteY1" fmla="*/ 230102 h 279631"/>
              <a:gd name="connsiteX2" fmla="*/ 184456 w 284955"/>
              <a:gd name="connsiteY2" fmla="*/ 279632 h 279631"/>
              <a:gd name="connsiteX3" fmla="*/ 284469 w 284955"/>
              <a:gd name="connsiteY3" fmla="*/ 155807 h 279631"/>
              <a:gd name="connsiteX4" fmla="*/ 207316 w 284955"/>
              <a:gd name="connsiteY4" fmla="*/ 15789 h 279631"/>
              <a:gd name="connsiteX5" fmla="*/ 49201 w 284955"/>
              <a:gd name="connsiteY5" fmla="*/ 34839 h 279631"/>
              <a:gd name="connsiteX6" fmla="*/ 7291 w 284955"/>
              <a:gd name="connsiteY6" fmla="*/ 189144 h 279631"/>
              <a:gd name="connsiteX7" fmla="*/ 7291 w 284955"/>
              <a:gd name="connsiteY7" fmla="*/ 189144 h 2796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4955" h="279631">
                <a:moveTo>
                  <a:pt x="7291" y="189144"/>
                </a:moveTo>
                <a:cubicBezTo>
                  <a:pt x="24436" y="199622"/>
                  <a:pt x="40629" y="213909"/>
                  <a:pt x="53011" y="230102"/>
                </a:cubicBezTo>
                <a:cubicBezTo>
                  <a:pt x="102541" y="224387"/>
                  <a:pt x="151119" y="242484"/>
                  <a:pt x="184456" y="279632"/>
                </a:cubicBezTo>
                <a:cubicBezTo>
                  <a:pt x="239701" y="262487"/>
                  <a:pt x="279706" y="213909"/>
                  <a:pt x="284469" y="155807"/>
                </a:cubicBezTo>
                <a:cubicBezTo>
                  <a:pt x="289231" y="97704"/>
                  <a:pt x="258751" y="42459"/>
                  <a:pt x="207316" y="15789"/>
                </a:cubicBezTo>
                <a:cubicBezTo>
                  <a:pt x="155881" y="-10881"/>
                  <a:pt x="93016" y="-3261"/>
                  <a:pt x="49201" y="34839"/>
                </a:cubicBezTo>
                <a:cubicBezTo>
                  <a:pt x="5386" y="72939"/>
                  <a:pt x="-10806" y="133899"/>
                  <a:pt x="7291" y="189144"/>
                </a:cubicBezTo>
                <a:lnTo>
                  <a:pt x="7291" y="189144"/>
                </a:lnTo>
                <a:close/>
              </a:path>
            </a:pathLst>
          </a:custGeom>
          <a:solidFill>
            <a:srgbClr val="E993EB"/>
          </a:solidFill>
          <a:ln w="9525" cap="flat">
            <a:noFill/>
            <a:prstDash val="solid"/>
            <a:miter/>
          </a:ln>
        </xdr:spPr>
        <xdr:txBody>
          <a:bodyPr rtlCol="0" anchor="ctr"/>
          <a:lstStyle/>
          <a:p>
            <a:endParaRPr lang="ru-RU"/>
          </a:p>
        </xdr:txBody>
      </xdr:sp>
    </xdr:grpSp>
    <xdr:clientData/>
  </xdr:twoCellAnchor>
  <xdr:twoCellAnchor>
    <xdr:from>
      <xdr:col>0</xdr:col>
      <xdr:colOff>152400</xdr:colOff>
      <xdr:row>6</xdr:row>
      <xdr:rowOff>123118</xdr:rowOff>
    </xdr:from>
    <xdr:to>
      <xdr:col>0</xdr:col>
      <xdr:colOff>426720</xdr:colOff>
      <xdr:row>8</xdr:row>
      <xdr:rowOff>30876</xdr:rowOff>
    </xdr:to>
    <xdr:pic>
      <xdr:nvPicPr>
        <xdr:cNvPr id="49" name="Graphic 48" descr="Moon and stars with solid fill">
          <a:extLst>
            <a:ext uri="{FF2B5EF4-FFF2-40B4-BE49-F238E27FC236}">
              <a16:creationId xmlns:a16="http://schemas.microsoft.com/office/drawing/2014/main" id="{D01DE896-9486-3E35-232D-27F12968208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2400" y="1220398"/>
          <a:ext cx="274320" cy="273518"/>
        </a:xfrm>
        <a:prstGeom prst="rect">
          <a:avLst/>
        </a:prstGeom>
      </xdr:spPr>
    </xdr:pic>
    <xdr:clientData/>
  </xdr:twoCellAnchor>
  <xdr:twoCellAnchor>
    <xdr:from>
      <xdr:col>0</xdr:col>
      <xdr:colOff>183687</xdr:colOff>
      <xdr:row>2</xdr:row>
      <xdr:rowOff>0</xdr:rowOff>
    </xdr:from>
    <xdr:to>
      <xdr:col>0</xdr:col>
      <xdr:colOff>458007</xdr:colOff>
      <xdr:row>3</xdr:row>
      <xdr:rowOff>91440</xdr:rowOff>
    </xdr:to>
    <xdr:pic>
      <xdr:nvPicPr>
        <xdr:cNvPr id="50" name="Graphic 49" descr="Sun with solid fill">
          <a:hlinkClick xmlns:r="http://schemas.openxmlformats.org/officeDocument/2006/relationships" r:id="rId15"/>
          <a:extLst>
            <a:ext uri="{FF2B5EF4-FFF2-40B4-BE49-F238E27FC236}">
              <a16:creationId xmlns:a16="http://schemas.microsoft.com/office/drawing/2014/main" id="{5EC3350A-E492-22F4-4364-87933BB7C12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83687" y="365760"/>
          <a:ext cx="274320" cy="2743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xdr:colOff>
      <xdr:row>0</xdr:row>
      <xdr:rowOff>0</xdr:rowOff>
    </xdr:from>
    <xdr:to>
      <xdr:col>24</xdr:col>
      <xdr:colOff>7620</xdr:colOff>
      <xdr:row>45</xdr:row>
      <xdr:rowOff>0</xdr:rowOff>
    </xdr:to>
    <xdr:grpSp>
      <xdr:nvGrpSpPr>
        <xdr:cNvPr id="2" name="Group 1">
          <a:extLst>
            <a:ext uri="{FF2B5EF4-FFF2-40B4-BE49-F238E27FC236}">
              <a16:creationId xmlns:a16="http://schemas.microsoft.com/office/drawing/2014/main" id="{4EC137F2-B372-47EA-B2E0-04FFE2F72A10}"/>
            </a:ext>
          </a:extLst>
        </xdr:cNvPr>
        <xdr:cNvGrpSpPr/>
      </xdr:nvGrpSpPr>
      <xdr:grpSpPr>
        <a:xfrm>
          <a:off x="7620" y="0"/>
          <a:ext cx="14630400" cy="8572500"/>
          <a:chOff x="172844" y="6858000"/>
          <a:chExt cx="11850624" cy="7235580"/>
        </a:xfrm>
      </xdr:grpSpPr>
      <xdr:sp macro="" textlink="">
        <xdr:nvSpPr>
          <xdr:cNvPr id="3" name="Rectangle 2">
            <a:extLst>
              <a:ext uri="{FF2B5EF4-FFF2-40B4-BE49-F238E27FC236}">
                <a16:creationId xmlns:a16="http://schemas.microsoft.com/office/drawing/2014/main" id="{1474D484-0347-5BCD-7477-99EF7268BD68}"/>
              </a:ext>
            </a:extLst>
          </xdr:cNvPr>
          <xdr:cNvSpPr/>
        </xdr:nvSpPr>
        <xdr:spPr>
          <a:xfrm>
            <a:off x="172844" y="6858000"/>
            <a:ext cx="11846312" cy="7235580"/>
          </a:xfrm>
          <a:prstGeom prst="rect">
            <a:avLst/>
          </a:prstGeom>
          <a:gradFill flip="none" rotWithShape="1">
            <a:gsLst>
              <a:gs pos="28000">
                <a:srgbClr val="353C96"/>
              </a:gs>
              <a:gs pos="97000">
                <a:srgbClr val="2587D1"/>
              </a:gs>
            </a:gsLst>
            <a:lin ang="30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 name="Rectangle 3">
            <a:extLst>
              <a:ext uri="{FF2B5EF4-FFF2-40B4-BE49-F238E27FC236}">
                <a16:creationId xmlns:a16="http://schemas.microsoft.com/office/drawing/2014/main" id="{A3F98E4E-4116-F27C-498C-569DF76FE1C3}"/>
              </a:ext>
            </a:extLst>
          </xdr:cNvPr>
          <xdr:cNvSpPr/>
        </xdr:nvSpPr>
        <xdr:spPr>
          <a:xfrm>
            <a:off x="172844" y="6858000"/>
            <a:ext cx="11850624" cy="7235580"/>
          </a:xfrm>
          <a:prstGeom prst="rect">
            <a:avLst/>
          </a:prstGeom>
          <a:gradFill flip="none" rotWithShape="1">
            <a:gsLst>
              <a:gs pos="0">
                <a:srgbClr val="A66AB0"/>
              </a:gs>
              <a:gs pos="37000">
                <a:srgbClr val="353C97">
                  <a:alpha val="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91440</xdr:colOff>
      <xdr:row>2</xdr:row>
      <xdr:rowOff>15240</xdr:rowOff>
    </xdr:from>
    <xdr:to>
      <xdr:col>20</xdr:col>
      <xdr:colOff>426720</xdr:colOff>
      <xdr:row>37</xdr:row>
      <xdr:rowOff>106680</xdr:rowOff>
    </xdr:to>
    <xdr:grpSp>
      <xdr:nvGrpSpPr>
        <xdr:cNvPr id="5" name="Group 4">
          <a:extLst>
            <a:ext uri="{FF2B5EF4-FFF2-40B4-BE49-F238E27FC236}">
              <a16:creationId xmlns:a16="http://schemas.microsoft.com/office/drawing/2014/main" id="{62A2AA26-BF2D-4877-B211-32F43A48D7AE}"/>
            </a:ext>
          </a:extLst>
        </xdr:cNvPr>
        <xdr:cNvGrpSpPr/>
      </xdr:nvGrpSpPr>
      <xdr:grpSpPr>
        <a:xfrm>
          <a:off x="1920240" y="396240"/>
          <a:ext cx="10698480" cy="6758940"/>
          <a:chOff x="914143" y="7218382"/>
          <a:chExt cx="10698480" cy="6492240"/>
        </a:xfrm>
        <a:effectLst>
          <a:outerShdw blurRad="571500" dist="190500" dir="8100000" algn="tr" rotWithShape="0">
            <a:prstClr val="black">
              <a:alpha val="60000"/>
            </a:prstClr>
          </a:outerShdw>
        </a:effectLst>
      </xdr:grpSpPr>
      <xdr:sp macro="" textlink="">
        <xdr:nvSpPr>
          <xdr:cNvPr id="6" name="Rectangle: Rounded Corners 5">
            <a:extLst>
              <a:ext uri="{FF2B5EF4-FFF2-40B4-BE49-F238E27FC236}">
                <a16:creationId xmlns:a16="http://schemas.microsoft.com/office/drawing/2014/main" id="{69FB59C3-C2FE-D304-E845-763FD9BE8828}"/>
              </a:ext>
            </a:extLst>
          </xdr:cNvPr>
          <xdr:cNvSpPr/>
        </xdr:nvSpPr>
        <xdr:spPr>
          <a:xfrm>
            <a:off x="914143" y="7218382"/>
            <a:ext cx="10698480" cy="6492240"/>
          </a:xfrm>
          <a:prstGeom prst="roundRect">
            <a:avLst>
              <a:gd name="adj" fmla="val 5678"/>
            </a:avLst>
          </a:prstGeom>
          <a:gradFill flip="none" rotWithShape="1">
            <a:gsLst>
              <a:gs pos="100000">
                <a:srgbClr val="1A598D"/>
              </a:gs>
              <a:gs pos="72000">
                <a:srgbClr val="353874"/>
              </a:gs>
              <a:gs pos="27000">
                <a:srgbClr val="353874"/>
              </a:gs>
              <a:gs pos="0">
                <a:srgbClr val="43348B"/>
              </a:gs>
            </a:gsLst>
            <a:lin ang="2700000" scaled="1"/>
            <a:tileRect/>
          </a:gradFill>
          <a:ln w="9525">
            <a:gradFill flip="none" rotWithShape="1">
              <a:gsLst>
                <a:gs pos="0">
                  <a:srgbClr val="00B0F0"/>
                </a:gs>
                <a:gs pos="100000">
                  <a:srgbClr val="7030A0"/>
                </a:gs>
                <a:gs pos="58000">
                  <a:srgbClr val="8776B8"/>
                </a:gs>
                <a:gs pos="34000">
                  <a:srgbClr val="F2BBF3"/>
                </a:gs>
              </a:gsLst>
              <a:lin ang="135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 name="Rectangle: Rounded Corners 6">
            <a:extLst>
              <a:ext uri="{FF2B5EF4-FFF2-40B4-BE49-F238E27FC236}">
                <a16:creationId xmlns:a16="http://schemas.microsoft.com/office/drawing/2014/main" id="{35C4CC8F-78BD-93F9-CF76-52A7978FB80F}"/>
              </a:ext>
            </a:extLst>
          </xdr:cNvPr>
          <xdr:cNvSpPr/>
        </xdr:nvSpPr>
        <xdr:spPr>
          <a:xfrm>
            <a:off x="914143" y="7218382"/>
            <a:ext cx="10698480" cy="6492240"/>
          </a:xfrm>
          <a:prstGeom prst="roundRect">
            <a:avLst>
              <a:gd name="adj" fmla="val 5678"/>
            </a:avLst>
          </a:prstGeom>
          <a:gradFill flip="none" rotWithShape="1">
            <a:gsLst>
              <a:gs pos="100000">
                <a:srgbClr val="5E376F"/>
              </a:gs>
              <a:gs pos="72000">
                <a:srgbClr val="353874">
                  <a:alpha val="0"/>
                </a:srgbClr>
              </a:gs>
              <a:gs pos="27000">
                <a:srgbClr val="353874">
                  <a:alpha val="0"/>
                </a:srgbClr>
              </a:gs>
              <a:gs pos="0">
                <a:srgbClr val="43348B"/>
              </a:gs>
            </a:gsLst>
            <a:lin ang="18900000" scaled="1"/>
            <a:tileRect/>
          </a:gradFill>
          <a:ln w="9525">
            <a:gradFill flip="none" rotWithShape="1">
              <a:gsLst>
                <a:gs pos="0">
                  <a:srgbClr val="00B0F0"/>
                </a:gs>
                <a:gs pos="100000">
                  <a:srgbClr val="9079D9"/>
                </a:gs>
                <a:gs pos="68000">
                  <a:srgbClr val="6956B1"/>
                </a:gs>
                <a:gs pos="34000">
                  <a:srgbClr val="F2BBF3"/>
                </a:gs>
              </a:gsLst>
              <a:lin ang="135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488462</xdr:colOff>
      <xdr:row>3</xdr:row>
      <xdr:rowOff>167548</xdr:rowOff>
    </xdr:from>
    <xdr:to>
      <xdr:col>7</xdr:col>
      <xdr:colOff>492048</xdr:colOff>
      <xdr:row>12</xdr:row>
      <xdr:rowOff>167548</xdr:rowOff>
    </xdr:to>
    <xdr:sp macro="" textlink="">
      <xdr:nvSpPr>
        <xdr:cNvPr id="8" name="Rectangle: Rounded Corners 7">
          <a:extLst>
            <a:ext uri="{FF2B5EF4-FFF2-40B4-BE49-F238E27FC236}">
              <a16:creationId xmlns:a16="http://schemas.microsoft.com/office/drawing/2014/main" id="{6AA5D419-44D1-409F-A8D3-F26D63DFDA70}"/>
            </a:ext>
          </a:extLst>
        </xdr:cNvPr>
        <xdr:cNvSpPr/>
      </xdr:nvSpPr>
      <xdr:spPr>
        <a:xfrm>
          <a:off x="2317262" y="716188"/>
          <a:ext cx="2441986" cy="1645920"/>
        </a:xfrm>
        <a:prstGeom prst="roundRect">
          <a:avLst>
            <a:gd name="adj" fmla="val 9318"/>
          </a:avLst>
        </a:prstGeom>
        <a:gradFill flip="none" rotWithShape="1">
          <a:gsLst>
            <a:gs pos="3000">
              <a:srgbClr val="574998"/>
            </a:gs>
            <a:gs pos="76000">
              <a:srgbClr val="262D6A"/>
            </a:gs>
          </a:gsLst>
          <a:lin ang="6600000" scaled="0"/>
          <a:tileRect/>
        </a:gradFill>
        <a:ln w="9525">
          <a:gradFill flip="none" rotWithShape="1">
            <a:gsLst>
              <a:gs pos="0">
                <a:srgbClr val="BB75D8"/>
              </a:gs>
              <a:gs pos="51000">
                <a:srgbClr val="3B3E75"/>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100053</xdr:colOff>
      <xdr:row>3</xdr:row>
      <xdr:rowOff>170237</xdr:rowOff>
    </xdr:from>
    <xdr:to>
      <xdr:col>12</xdr:col>
      <xdr:colOff>474302</xdr:colOff>
      <xdr:row>12</xdr:row>
      <xdr:rowOff>170237</xdr:rowOff>
    </xdr:to>
    <xdr:sp macro="" textlink="">
      <xdr:nvSpPr>
        <xdr:cNvPr id="9" name="Rectangle: Rounded Corners 8">
          <a:extLst>
            <a:ext uri="{FF2B5EF4-FFF2-40B4-BE49-F238E27FC236}">
              <a16:creationId xmlns:a16="http://schemas.microsoft.com/office/drawing/2014/main" id="{2DF5DD76-0209-490E-903A-BEB838FFAAA2}"/>
            </a:ext>
          </a:extLst>
        </xdr:cNvPr>
        <xdr:cNvSpPr/>
      </xdr:nvSpPr>
      <xdr:spPr>
        <a:xfrm>
          <a:off x="4976853" y="718877"/>
          <a:ext cx="2812649" cy="1645920"/>
        </a:xfrm>
        <a:prstGeom prst="roundRect">
          <a:avLst>
            <a:gd name="adj" fmla="val 8437"/>
          </a:avLst>
        </a:prstGeom>
        <a:gradFill flip="none" rotWithShape="1">
          <a:gsLst>
            <a:gs pos="0">
              <a:srgbClr val="7D59A1"/>
            </a:gs>
            <a:gs pos="68000">
              <a:srgbClr val="30306F"/>
            </a:gs>
          </a:gsLst>
          <a:lin ang="6600000" scaled="0"/>
          <a:tileRect/>
        </a:gradFill>
        <a:ln w="9525">
          <a:gradFill flip="none" rotWithShape="1">
            <a:gsLst>
              <a:gs pos="0">
                <a:srgbClr val="EB97ED"/>
              </a:gs>
              <a:gs pos="49000">
                <a:srgbClr val="404380"/>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317657</xdr:colOff>
      <xdr:row>5</xdr:row>
      <xdr:rowOff>25457</xdr:rowOff>
    </xdr:from>
    <xdr:to>
      <xdr:col>12</xdr:col>
      <xdr:colOff>256697</xdr:colOff>
      <xdr:row>11</xdr:row>
      <xdr:rowOff>116897</xdr:rowOff>
    </xdr:to>
    <xdr:grpSp>
      <xdr:nvGrpSpPr>
        <xdr:cNvPr id="10" name="Group 9">
          <a:extLst>
            <a:ext uri="{FF2B5EF4-FFF2-40B4-BE49-F238E27FC236}">
              <a16:creationId xmlns:a16="http://schemas.microsoft.com/office/drawing/2014/main" id="{8C1BEF42-DF17-4950-8CE5-0FF876140E18}"/>
            </a:ext>
          </a:extLst>
        </xdr:cNvPr>
        <xdr:cNvGrpSpPr/>
      </xdr:nvGrpSpPr>
      <xdr:grpSpPr>
        <a:xfrm>
          <a:off x="5194457" y="977957"/>
          <a:ext cx="2377440" cy="1234440"/>
          <a:chOff x="4327066" y="2477006"/>
          <a:chExt cx="2017854" cy="1200912"/>
        </a:xfrm>
        <a:effectLst>
          <a:outerShdw blurRad="190500" dist="63500" dir="8100000" algn="tr" rotWithShape="0">
            <a:prstClr val="black">
              <a:alpha val="80000"/>
            </a:prstClr>
          </a:outerShdw>
        </a:effectLst>
      </xdr:grpSpPr>
      <xdr:sp macro="" textlink="">
        <xdr:nvSpPr>
          <xdr:cNvPr id="11" name="Rectangle: Rounded Corners 10">
            <a:extLst>
              <a:ext uri="{FF2B5EF4-FFF2-40B4-BE49-F238E27FC236}">
                <a16:creationId xmlns:a16="http://schemas.microsoft.com/office/drawing/2014/main" id="{D8D6B3DC-3B84-CC31-6DDC-251D72608613}"/>
              </a:ext>
            </a:extLst>
          </xdr:cNvPr>
          <xdr:cNvSpPr/>
        </xdr:nvSpPr>
        <xdr:spPr>
          <a:xfrm>
            <a:off x="4327066" y="2477006"/>
            <a:ext cx="2017854" cy="1200912"/>
          </a:xfrm>
          <a:prstGeom prst="roundRect">
            <a:avLst>
              <a:gd name="adj" fmla="val 12606"/>
            </a:avLst>
          </a:prstGeom>
          <a:gradFill flip="none" rotWithShape="1">
            <a:gsLst>
              <a:gs pos="0">
                <a:srgbClr val="614AAB"/>
              </a:gs>
              <a:gs pos="93000">
                <a:srgbClr val="394CA9"/>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E15">
        <xdr:nvSpPr>
          <xdr:cNvPr id="12" name="Rectangle: Rounded Corners 11">
            <a:extLst>
              <a:ext uri="{FF2B5EF4-FFF2-40B4-BE49-F238E27FC236}">
                <a16:creationId xmlns:a16="http://schemas.microsoft.com/office/drawing/2014/main" id="{9F39EF7E-F7B3-CA44-3ADE-0934B3BE23AF}"/>
              </a:ext>
            </a:extLst>
          </xdr:cNvPr>
          <xdr:cNvSpPr/>
        </xdr:nvSpPr>
        <xdr:spPr>
          <a:xfrm>
            <a:off x="4327066" y="2477006"/>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7F9CE73C-E2A6-491B-A672-9AFFE5A714CF}" type="TxLink">
              <a:rPr lang="en-US" sz="3400" b="0" i="0" u="none" strike="noStrike">
                <a:solidFill>
                  <a:schemeClr val="bg1"/>
                </a:solidFill>
                <a:latin typeface="Aptos Narrow"/>
              </a:rPr>
              <a:pPr algn="l"/>
              <a:t> $206,601 </a:t>
            </a:fld>
            <a:endParaRPr lang="ru-RU" sz="3400">
              <a:solidFill>
                <a:schemeClr val="bg1"/>
              </a:solidFill>
            </a:endParaRPr>
          </a:p>
        </xdr:txBody>
      </xdr:sp>
    </xdr:grpSp>
    <xdr:clientData/>
  </xdr:twoCellAnchor>
  <xdr:twoCellAnchor>
    <xdr:from>
      <xdr:col>13</xdr:col>
      <xdr:colOff>117892</xdr:colOff>
      <xdr:row>3</xdr:row>
      <xdr:rowOff>167548</xdr:rowOff>
    </xdr:from>
    <xdr:to>
      <xdr:col>20</xdr:col>
      <xdr:colOff>11212</xdr:colOff>
      <xdr:row>17</xdr:row>
      <xdr:rowOff>86268</xdr:rowOff>
    </xdr:to>
    <xdr:sp macro="" textlink="">
      <xdr:nvSpPr>
        <xdr:cNvPr id="13" name="Rectangle: Rounded Corners 12">
          <a:extLst>
            <a:ext uri="{FF2B5EF4-FFF2-40B4-BE49-F238E27FC236}">
              <a16:creationId xmlns:a16="http://schemas.microsoft.com/office/drawing/2014/main" id="{73123867-CB60-40DF-8CAD-328CC05CFD6D}"/>
            </a:ext>
          </a:extLst>
        </xdr:cNvPr>
        <xdr:cNvSpPr/>
      </xdr:nvSpPr>
      <xdr:spPr>
        <a:xfrm>
          <a:off x="8042692" y="716188"/>
          <a:ext cx="4160520" cy="2479040"/>
        </a:xfrm>
        <a:prstGeom prst="roundRect">
          <a:avLst>
            <a:gd name="adj" fmla="val 8437"/>
          </a:avLst>
        </a:prstGeom>
        <a:gradFill flip="none" rotWithShape="1">
          <a:gsLst>
            <a:gs pos="85000">
              <a:srgbClr val="4F4C91"/>
            </a:gs>
            <a:gs pos="34000">
              <a:srgbClr val="7B5FA2"/>
            </a:gs>
            <a:gs pos="0">
              <a:srgbClr val="9D71AE"/>
            </a:gs>
            <a:gs pos="69000">
              <a:srgbClr val="5A4E94"/>
            </a:gs>
          </a:gsLst>
          <a:lin ang="6000000" scaled="0"/>
          <a:tileRect/>
        </a:gradFill>
        <a:ln w="9525">
          <a:solidFill>
            <a:srgbClr val="EB97ED"/>
          </a:soli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tx2">
                <a:lumMod val="10000"/>
                <a:lumOff val="90000"/>
              </a:schemeClr>
            </a:solidFill>
          </a:endParaRPr>
        </a:p>
      </xdr:txBody>
    </xdr:sp>
    <xdr:clientData/>
  </xdr:twoCellAnchor>
  <xdr:twoCellAnchor>
    <xdr:from>
      <xdr:col>16</xdr:col>
      <xdr:colOff>346492</xdr:colOff>
      <xdr:row>18</xdr:row>
      <xdr:rowOff>130175</xdr:rowOff>
    </xdr:from>
    <xdr:to>
      <xdr:col>20</xdr:col>
      <xdr:colOff>11212</xdr:colOff>
      <xdr:row>35</xdr:row>
      <xdr:rowOff>130175</xdr:rowOff>
    </xdr:to>
    <xdr:sp macro="" textlink="">
      <xdr:nvSpPr>
        <xdr:cNvPr id="14" name="Rectangle: Rounded Corners 13">
          <a:extLst>
            <a:ext uri="{FF2B5EF4-FFF2-40B4-BE49-F238E27FC236}">
              <a16:creationId xmlns:a16="http://schemas.microsoft.com/office/drawing/2014/main" id="{F3765953-91A9-401A-BB84-6A1F58C6168E}"/>
            </a:ext>
          </a:extLst>
        </xdr:cNvPr>
        <xdr:cNvSpPr/>
      </xdr:nvSpPr>
      <xdr:spPr>
        <a:xfrm>
          <a:off x="10100092" y="3422015"/>
          <a:ext cx="2103120" cy="3108960"/>
        </a:xfrm>
        <a:prstGeom prst="roundRect">
          <a:avLst>
            <a:gd name="adj" fmla="val 8437"/>
          </a:avLst>
        </a:prstGeom>
        <a:gradFill flip="none" rotWithShape="1">
          <a:gsLst>
            <a:gs pos="68536">
              <a:srgbClr val="324385"/>
            </a:gs>
            <a:gs pos="100000">
              <a:srgbClr val="2A3E7E"/>
            </a:gs>
            <a:gs pos="28000">
              <a:srgbClr val="3F488D"/>
            </a:gs>
            <a:gs pos="0">
              <a:srgbClr val="56549D"/>
            </a:gs>
          </a:gsLst>
          <a:lin ang="5400000" scaled="0"/>
          <a:tileRect/>
        </a:gradFill>
        <a:ln w="9525">
          <a:gradFill>
            <a:gsLst>
              <a:gs pos="0">
                <a:srgbClr val="997ABC"/>
              </a:gs>
              <a:gs pos="100000">
                <a:srgbClr val="404380"/>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13</xdr:col>
      <xdr:colOff>117892</xdr:colOff>
      <xdr:row>18</xdr:row>
      <xdr:rowOff>130175</xdr:rowOff>
    </xdr:from>
    <xdr:to>
      <xdr:col>16</xdr:col>
      <xdr:colOff>117892</xdr:colOff>
      <xdr:row>35</xdr:row>
      <xdr:rowOff>130175</xdr:rowOff>
    </xdr:to>
    <xdr:sp macro="" textlink="">
      <xdr:nvSpPr>
        <xdr:cNvPr id="15" name="Rectangle: Rounded Corners 14">
          <a:extLst>
            <a:ext uri="{FF2B5EF4-FFF2-40B4-BE49-F238E27FC236}">
              <a16:creationId xmlns:a16="http://schemas.microsoft.com/office/drawing/2014/main" id="{51D5300C-775B-418A-9EEF-453550C1D11E}"/>
            </a:ext>
          </a:extLst>
        </xdr:cNvPr>
        <xdr:cNvSpPr/>
      </xdr:nvSpPr>
      <xdr:spPr>
        <a:xfrm>
          <a:off x="8042692" y="3422015"/>
          <a:ext cx="1828800" cy="3108960"/>
        </a:xfrm>
        <a:prstGeom prst="roundRect">
          <a:avLst>
            <a:gd name="adj" fmla="val 8437"/>
          </a:avLst>
        </a:prstGeom>
        <a:gradFill flip="none" rotWithShape="1">
          <a:gsLst>
            <a:gs pos="68536">
              <a:srgbClr val="324385"/>
            </a:gs>
            <a:gs pos="100000">
              <a:srgbClr val="2A3E7E"/>
            </a:gs>
            <a:gs pos="28000">
              <a:srgbClr val="3F488D"/>
            </a:gs>
            <a:gs pos="0">
              <a:srgbClr val="56549D"/>
            </a:gs>
          </a:gsLst>
          <a:lin ang="5400000" scaled="0"/>
          <a:tileRect/>
        </a:gradFill>
        <a:ln w="9525">
          <a:gradFill>
            <a:gsLst>
              <a:gs pos="0">
                <a:srgbClr val="997ABC"/>
              </a:gs>
              <a:gs pos="100000">
                <a:srgbClr val="404380"/>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482872</xdr:colOff>
      <xdr:row>14</xdr:row>
      <xdr:rowOff>45720</xdr:rowOff>
    </xdr:from>
    <xdr:to>
      <xdr:col>12</xdr:col>
      <xdr:colOff>474302</xdr:colOff>
      <xdr:row>35</xdr:row>
      <xdr:rowOff>130175</xdr:rowOff>
    </xdr:to>
    <xdr:sp macro="" textlink="">
      <xdr:nvSpPr>
        <xdr:cNvPr id="16" name="Rectangle: Rounded Corners 15">
          <a:extLst>
            <a:ext uri="{FF2B5EF4-FFF2-40B4-BE49-F238E27FC236}">
              <a16:creationId xmlns:a16="http://schemas.microsoft.com/office/drawing/2014/main" id="{311B4633-AE27-43DA-BF65-2888D35FBE8D}"/>
            </a:ext>
          </a:extLst>
        </xdr:cNvPr>
        <xdr:cNvSpPr/>
      </xdr:nvSpPr>
      <xdr:spPr>
        <a:xfrm>
          <a:off x="2311672" y="2606040"/>
          <a:ext cx="5477830" cy="3924935"/>
        </a:xfrm>
        <a:prstGeom prst="roundRect">
          <a:avLst>
            <a:gd name="adj" fmla="val 3638"/>
          </a:avLst>
        </a:prstGeom>
        <a:gradFill>
          <a:gsLst>
            <a:gs pos="0">
              <a:srgbClr val="515092"/>
            </a:gs>
            <a:gs pos="79000">
              <a:srgbClr val="2C3977"/>
            </a:gs>
          </a:gsLst>
          <a:lin ang="5400000" scaled="0"/>
        </a:gradFill>
        <a:ln w="9525">
          <a:gradFill flip="none" rotWithShape="1">
            <a:gsLst>
              <a:gs pos="0">
                <a:srgbClr val="997ABC"/>
              </a:gs>
              <a:gs pos="81000">
                <a:srgbClr val="404380"/>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106680</xdr:colOff>
      <xdr:row>5</xdr:row>
      <xdr:rowOff>15240</xdr:rowOff>
    </xdr:from>
    <xdr:to>
      <xdr:col>7</xdr:col>
      <xdr:colOff>289560</xdr:colOff>
      <xdr:row>11</xdr:row>
      <xdr:rowOff>106680</xdr:rowOff>
    </xdr:to>
    <xdr:grpSp>
      <xdr:nvGrpSpPr>
        <xdr:cNvPr id="17" name="Group 16">
          <a:extLst>
            <a:ext uri="{FF2B5EF4-FFF2-40B4-BE49-F238E27FC236}">
              <a16:creationId xmlns:a16="http://schemas.microsoft.com/office/drawing/2014/main" id="{0453525B-EC59-46DE-825E-A6DCD86DC67E}"/>
            </a:ext>
          </a:extLst>
        </xdr:cNvPr>
        <xdr:cNvGrpSpPr/>
      </xdr:nvGrpSpPr>
      <xdr:grpSpPr>
        <a:xfrm>
          <a:off x="2545080" y="967740"/>
          <a:ext cx="2011680" cy="1234440"/>
          <a:chOff x="2234106" y="2775708"/>
          <a:chExt cx="2017854" cy="1200912"/>
        </a:xfrm>
        <a:effectLst>
          <a:outerShdw blurRad="190500" dist="63500" dir="8100000" algn="tr" rotWithShape="0">
            <a:prstClr val="black">
              <a:alpha val="80000"/>
            </a:prstClr>
          </a:outerShdw>
        </a:effectLst>
      </xdr:grpSpPr>
      <xdr:sp macro="" textlink="">
        <xdr:nvSpPr>
          <xdr:cNvPr id="18" name="Rectangle: Rounded Corners 17">
            <a:extLst>
              <a:ext uri="{FF2B5EF4-FFF2-40B4-BE49-F238E27FC236}">
                <a16:creationId xmlns:a16="http://schemas.microsoft.com/office/drawing/2014/main" id="{6BD51677-E567-5380-BA28-D97578E79022}"/>
              </a:ext>
            </a:extLst>
          </xdr:cNvPr>
          <xdr:cNvSpPr/>
        </xdr:nvSpPr>
        <xdr:spPr>
          <a:xfrm>
            <a:off x="2234106" y="2775708"/>
            <a:ext cx="2017854" cy="1200912"/>
          </a:xfrm>
          <a:prstGeom prst="roundRect">
            <a:avLst>
              <a:gd name="adj" fmla="val 12606"/>
            </a:avLst>
          </a:prstGeom>
          <a:gradFill flip="none" rotWithShape="1">
            <a:gsLst>
              <a:gs pos="0">
                <a:srgbClr val="614AAB"/>
              </a:gs>
              <a:gs pos="100000">
                <a:srgbClr val="3636A6"/>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R6">
        <xdr:nvSpPr>
          <xdr:cNvPr id="19" name="Rectangle: Rounded Corners 18">
            <a:extLst>
              <a:ext uri="{FF2B5EF4-FFF2-40B4-BE49-F238E27FC236}">
                <a16:creationId xmlns:a16="http://schemas.microsoft.com/office/drawing/2014/main" id="{A2A5FDA6-4DE4-5D1C-F966-3889D3F3DE02}"/>
              </a:ext>
            </a:extLst>
          </xdr:cNvPr>
          <xdr:cNvSpPr/>
        </xdr:nvSpPr>
        <xdr:spPr>
          <a:xfrm>
            <a:off x="2234106" y="2775708"/>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9D5B22AD-2689-4A19-8294-60DCF73D852F}" type="TxLink">
              <a:rPr lang="en-US" sz="4000" b="0" i="0" u="none" strike="noStrike">
                <a:solidFill>
                  <a:schemeClr val="bg1"/>
                </a:solidFill>
                <a:latin typeface="Aptos Narrow"/>
              </a:rPr>
              <a:pPr algn="l"/>
              <a:t> 3 611</a:t>
            </a:fld>
            <a:endParaRPr lang="ru-RU" sz="4000">
              <a:solidFill>
                <a:schemeClr val="bg1"/>
              </a:solidFill>
            </a:endParaRPr>
          </a:p>
        </xdr:txBody>
      </xdr:sp>
    </xdr:grpSp>
    <xdr:clientData/>
  </xdr:twoCellAnchor>
  <xdr:twoCellAnchor>
    <xdr:from>
      <xdr:col>16</xdr:col>
      <xdr:colOff>289559</xdr:colOff>
      <xdr:row>5</xdr:row>
      <xdr:rowOff>73343</xdr:rowOff>
    </xdr:from>
    <xdr:to>
      <xdr:col>19</xdr:col>
      <xdr:colOff>289559</xdr:colOff>
      <xdr:row>15</xdr:row>
      <xdr:rowOff>73343</xdr:rowOff>
    </xdr:to>
    <xdr:sp macro="" textlink="">
      <xdr:nvSpPr>
        <xdr:cNvPr id="20" name="Circle: Hollow 19">
          <a:extLst>
            <a:ext uri="{FF2B5EF4-FFF2-40B4-BE49-F238E27FC236}">
              <a16:creationId xmlns:a16="http://schemas.microsoft.com/office/drawing/2014/main" id="{9713A9C3-E8DA-407C-A3E0-57D3AA7BDD1A}"/>
            </a:ext>
          </a:extLst>
        </xdr:cNvPr>
        <xdr:cNvSpPr/>
      </xdr:nvSpPr>
      <xdr:spPr>
        <a:xfrm>
          <a:off x="10043159" y="987743"/>
          <a:ext cx="1828800" cy="1828800"/>
        </a:xfrm>
        <a:prstGeom prst="donut">
          <a:avLst>
            <a:gd name="adj" fmla="val 20022"/>
          </a:avLst>
        </a:prstGeom>
        <a:solidFill>
          <a:srgbClr val="775A94"/>
        </a:solidFill>
        <a:ln>
          <a:noFill/>
        </a:ln>
        <a:effectLst>
          <a:innerShdw blurRad="254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15</xdr:col>
      <xdr:colOff>218883</xdr:colOff>
      <xdr:row>4</xdr:row>
      <xdr:rowOff>22860</xdr:rowOff>
    </xdr:from>
    <xdr:to>
      <xdr:col>20</xdr:col>
      <xdr:colOff>213549</xdr:colOff>
      <xdr:row>17</xdr:row>
      <xdr:rowOff>22860</xdr:rowOff>
    </xdr:to>
    <xdr:graphicFrame macro="">
      <xdr:nvGraphicFramePr>
        <xdr:cNvPr id="21" name="Chart 20">
          <a:extLst>
            <a:ext uri="{FF2B5EF4-FFF2-40B4-BE49-F238E27FC236}">
              <a16:creationId xmlns:a16="http://schemas.microsoft.com/office/drawing/2014/main" id="{25FC9FC3-174D-4DCC-9B1A-FB6535495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144780</xdr:colOff>
      <xdr:row>8</xdr:row>
      <xdr:rowOff>175260</xdr:rowOff>
    </xdr:from>
    <xdr:to>
      <xdr:col>18</xdr:col>
      <xdr:colOff>464820</xdr:colOff>
      <xdr:row>11</xdr:row>
      <xdr:rowOff>144780</xdr:rowOff>
    </xdr:to>
    <xdr:sp macro="" textlink="Processing!L1">
      <xdr:nvSpPr>
        <xdr:cNvPr id="22" name="TextBox 21">
          <a:extLst>
            <a:ext uri="{FF2B5EF4-FFF2-40B4-BE49-F238E27FC236}">
              <a16:creationId xmlns:a16="http://schemas.microsoft.com/office/drawing/2014/main" id="{04C7F5E1-F400-4BE2-83F3-E9A0A7FA4714}"/>
            </a:ext>
          </a:extLst>
        </xdr:cNvPr>
        <xdr:cNvSpPr txBox="1"/>
      </xdr:nvSpPr>
      <xdr:spPr>
        <a:xfrm>
          <a:off x="10507980" y="1638300"/>
          <a:ext cx="9296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13EBC-4154-46D3-8C89-E3581B3DEC57}" type="TxLink">
            <a:rPr lang="en-US" sz="28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algn="ctr"/>
            <a:t>69%</a:t>
          </a:fld>
          <a:endParaRPr lang="ru-RU" sz="28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556260</xdr:colOff>
      <xdr:row>6</xdr:row>
      <xdr:rowOff>111668</xdr:rowOff>
    </xdr:from>
    <xdr:to>
      <xdr:col>15</xdr:col>
      <xdr:colOff>441960</xdr:colOff>
      <xdr:row>14</xdr:row>
      <xdr:rowOff>142148</xdr:rowOff>
    </xdr:to>
    <xdr:sp macro="" textlink="Processing!L3">
      <xdr:nvSpPr>
        <xdr:cNvPr id="23" name="TextBox 22">
          <a:extLst>
            <a:ext uri="{FF2B5EF4-FFF2-40B4-BE49-F238E27FC236}">
              <a16:creationId xmlns:a16="http://schemas.microsoft.com/office/drawing/2014/main" id="{796FA75D-55B6-42E2-89BC-552A75C99C5F}"/>
            </a:ext>
          </a:extLst>
        </xdr:cNvPr>
        <xdr:cNvSpPr txBox="1"/>
      </xdr:nvSpPr>
      <xdr:spPr>
        <a:xfrm>
          <a:off x="8481060" y="1208948"/>
          <a:ext cx="1104900" cy="149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192E12-50AD-4E0A-B2D0-AEA7EAFE272F}" type="TxLink">
            <a:rPr lang="en-US"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algn="l"/>
            <a:t>Referral
Social
Organic
Other</a:t>
          </a:fld>
          <a:endParaRPr lang="ru-RU" sz="40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15</xdr:col>
      <xdr:colOff>176554</xdr:colOff>
      <xdr:row>6</xdr:row>
      <xdr:rowOff>15994</xdr:rowOff>
    </xdr:from>
    <xdr:to>
      <xdr:col>16</xdr:col>
      <xdr:colOff>265406</xdr:colOff>
      <xdr:row>15</xdr:row>
      <xdr:rowOff>54942</xdr:rowOff>
    </xdr:to>
    <xdr:sp macro="" textlink="Processing!L4">
      <xdr:nvSpPr>
        <xdr:cNvPr id="24" name="TextBox 23">
          <a:extLst>
            <a:ext uri="{FF2B5EF4-FFF2-40B4-BE49-F238E27FC236}">
              <a16:creationId xmlns:a16="http://schemas.microsoft.com/office/drawing/2014/main" id="{9CD33D1D-A71D-4490-9B12-622BB0145D04}"/>
            </a:ext>
          </a:extLst>
        </xdr:cNvPr>
        <xdr:cNvSpPr txBox="1"/>
      </xdr:nvSpPr>
      <xdr:spPr>
        <a:xfrm>
          <a:off x="9320554" y="1113274"/>
          <a:ext cx="698452" cy="168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4F74C0-A175-46A3-99F1-6AC9F525AB7E}" type="TxLink">
            <a:rPr lang="en-US"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marL="0" indent="0" algn="l"/>
            <a:t>13%
39%
17%
31%</a:t>
          </a:fld>
          <a:endParaRPr lang="ru-RU"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396240</xdr:colOff>
      <xdr:row>8</xdr:row>
      <xdr:rowOff>53340</xdr:rowOff>
    </xdr:from>
    <xdr:to>
      <xdr:col>13</xdr:col>
      <xdr:colOff>533400</xdr:colOff>
      <xdr:row>9</xdr:row>
      <xdr:rowOff>7620</xdr:rowOff>
    </xdr:to>
    <xdr:sp macro="" textlink="">
      <xdr:nvSpPr>
        <xdr:cNvPr id="25" name="Oval 24">
          <a:extLst>
            <a:ext uri="{FF2B5EF4-FFF2-40B4-BE49-F238E27FC236}">
              <a16:creationId xmlns:a16="http://schemas.microsoft.com/office/drawing/2014/main" id="{2EAE07E6-9C20-4AE5-A0B1-3A14FC61B290}"/>
            </a:ext>
          </a:extLst>
        </xdr:cNvPr>
        <xdr:cNvSpPr/>
      </xdr:nvSpPr>
      <xdr:spPr>
        <a:xfrm>
          <a:off x="8321040" y="1516380"/>
          <a:ext cx="137160" cy="137160"/>
        </a:xfrm>
        <a:prstGeom prst="ellipse">
          <a:avLst/>
        </a:prstGeom>
        <a:gradFill>
          <a:gsLst>
            <a:gs pos="0">
              <a:schemeClr val="accent5">
                <a:lumMod val="60000"/>
                <a:lumOff val="40000"/>
              </a:schemeClr>
            </a:gs>
            <a:gs pos="97000">
              <a:srgbClr val="A62C97"/>
            </a:gs>
          </a:gsLst>
          <a:lin ang="3000000" scaled="0"/>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9</xdr:row>
      <xdr:rowOff>119380</xdr:rowOff>
    </xdr:from>
    <xdr:to>
      <xdr:col>13</xdr:col>
      <xdr:colOff>533400</xdr:colOff>
      <xdr:row>10</xdr:row>
      <xdr:rowOff>73660</xdr:rowOff>
    </xdr:to>
    <xdr:sp macro="" textlink="">
      <xdr:nvSpPr>
        <xdr:cNvPr id="26" name="Oval 25">
          <a:extLst>
            <a:ext uri="{FF2B5EF4-FFF2-40B4-BE49-F238E27FC236}">
              <a16:creationId xmlns:a16="http://schemas.microsoft.com/office/drawing/2014/main" id="{05BF1053-3B0B-44E1-B16D-000BCA538D76}"/>
            </a:ext>
          </a:extLst>
        </xdr:cNvPr>
        <xdr:cNvSpPr/>
      </xdr:nvSpPr>
      <xdr:spPr>
        <a:xfrm>
          <a:off x="8321040" y="1765300"/>
          <a:ext cx="137160" cy="137160"/>
        </a:xfrm>
        <a:prstGeom prst="ellipse">
          <a:avLst/>
        </a:prstGeom>
        <a:gradFill>
          <a:gsLst>
            <a:gs pos="100000">
              <a:srgbClr val="61A7F5"/>
            </a:gs>
            <a:gs pos="0">
              <a:srgbClr val="4077E3"/>
            </a:gs>
          </a:gsLst>
          <a:lin ang="5400000" scaled="1"/>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11</xdr:row>
      <xdr:rowOff>2540</xdr:rowOff>
    </xdr:from>
    <xdr:to>
      <xdr:col>13</xdr:col>
      <xdr:colOff>533400</xdr:colOff>
      <xdr:row>11</xdr:row>
      <xdr:rowOff>139700</xdr:rowOff>
    </xdr:to>
    <xdr:sp macro="" textlink="">
      <xdr:nvSpPr>
        <xdr:cNvPr id="27" name="Oval 26">
          <a:extLst>
            <a:ext uri="{FF2B5EF4-FFF2-40B4-BE49-F238E27FC236}">
              <a16:creationId xmlns:a16="http://schemas.microsoft.com/office/drawing/2014/main" id="{9C19FD36-859A-485B-8D0C-23222F715BAF}"/>
            </a:ext>
          </a:extLst>
        </xdr:cNvPr>
        <xdr:cNvSpPr/>
      </xdr:nvSpPr>
      <xdr:spPr>
        <a:xfrm>
          <a:off x="8321040" y="2014220"/>
          <a:ext cx="137160" cy="137160"/>
        </a:xfrm>
        <a:prstGeom prst="ellipse">
          <a:avLst/>
        </a:prstGeom>
        <a:gradFill>
          <a:gsLst>
            <a:gs pos="0">
              <a:srgbClr val="8070E2"/>
            </a:gs>
            <a:gs pos="100000">
              <a:srgbClr val="5A4EBD"/>
            </a:gs>
          </a:gsLst>
          <a:lin ang="5400000" scaled="1"/>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12</xdr:row>
      <xdr:rowOff>68580</xdr:rowOff>
    </xdr:from>
    <xdr:to>
      <xdr:col>13</xdr:col>
      <xdr:colOff>533400</xdr:colOff>
      <xdr:row>13</xdr:row>
      <xdr:rowOff>22860</xdr:rowOff>
    </xdr:to>
    <xdr:sp macro="" textlink="">
      <xdr:nvSpPr>
        <xdr:cNvPr id="28" name="Oval 27">
          <a:extLst>
            <a:ext uri="{FF2B5EF4-FFF2-40B4-BE49-F238E27FC236}">
              <a16:creationId xmlns:a16="http://schemas.microsoft.com/office/drawing/2014/main" id="{F2096248-0240-440D-BEA7-0AAD24653820}"/>
            </a:ext>
          </a:extLst>
        </xdr:cNvPr>
        <xdr:cNvSpPr/>
      </xdr:nvSpPr>
      <xdr:spPr>
        <a:xfrm>
          <a:off x="8321040" y="2263140"/>
          <a:ext cx="137160" cy="137160"/>
        </a:xfrm>
        <a:prstGeom prst="ellipse">
          <a:avLst/>
        </a:prstGeom>
        <a:solidFill>
          <a:srgbClr val="49375B"/>
        </a:soli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297180</xdr:colOff>
      <xdr:row>4</xdr:row>
      <xdr:rowOff>68580</xdr:rowOff>
    </xdr:from>
    <xdr:to>
      <xdr:col>16</xdr:col>
      <xdr:colOff>236220</xdr:colOff>
      <xdr:row>7</xdr:row>
      <xdr:rowOff>38100</xdr:rowOff>
    </xdr:to>
    <xdr:sp macro="" textlink="Processing!J1">
      <xdr:nvSpPr>
        <xdr:cNvPr id="29" name="TextBox 28">
          <a:extLst>
            <a:ext uri="{FF2B5EF4-FFF2-40B4-BE49-F238E27FC236}">
              <a16:creationId xmlns:a16="http://schemas.microsoft.com/office/drawing/2014/main" id="{849B4AD5-F1D5-4ED4-A609-D52799FC7CA7}"/>
            </a:ext>
          </a:extLst>
        </xdr:cNvPr>
        <xdr:cNvSpPr txBox="1"/>
      </xdr:nvSpPr>
      <xdr:spPr>
        <a:xfrm>
          <a:off x="8221980" y="800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F317E-6BCC-41D4-9B03-B5200F498A24}"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algn="ctr"/>
            <a:t>Traffic Sources</a:t>
          </a:fld>
          <a:endParaRPr lang="ru-RU" sz="44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17</xdr:col>
      <xdr:colOff>11336</xdr:colOff>
      <xdr:row>22</xdr:row>
      <xdr:rowOff>162436</xdr:rowOff>
    </xdr:from>
    <xdr:to>
      <xdr:col>19</xdr:col>
      <xdr:colOff>350335</xdr:colOff>
      <xdr:row>31</xdr:row>
      <xdr:rowOff>76944</xdr:rowOff>
    </xdr:to>
    <xdr:grpSp>
      <xdr:nvGrpSpPr>
        <xdr:cNvPr id="30" name="Group 29">
          <a:extLst>
            <a:ext uri="{FF2B5EF4-FFF2-40B4-BE49-F238E27FC236}">
              <a16:creationId xmlns:a16="http://schemas.microsoft.com/office/drawing/2014/main" id="{56E84ED7-4365-48BE-AB93-CFD6273A70C3}"/>
            </a:ext>
          </a:extLst>
        </xdr:cNvPr>
        <xdr:cNvGrpSpPr/>
      </xdr:nvGrpSpPr>
      <xdr:grpSpPr>
        <a:xfrm>
          <a:off x="10374536" y="4353436"/>
          <a:ext cx="1558199" cy="1629008"/>
          <a:chOff x="10374536" y="4039901"/>
          <a:chExt cx="1558199" cy="1554481"/>
        </a:xfrm>
      </xdr:grpSpPr>
      <xdr:cxnSp macro="">
        <xdr:nvCxnSpPr>
          <xdr:cNvPr id="31" name="Straight Connector 30">
            <a:extLst>
              <a:ext uri="{FF2B5EF4-FFF2-40B4-BE49-F238E27FC236}">
                <a16:creationId xmlns:a16="http://schemas.microsoft.com/office/drawing/2014/main" id="{39F73E02-C69D-A2AD-EA88-A57A14EBAE34}"/>
              </a:ext>
            </a:extLst>
          </xdr:cNvPr>
          <xdr:cNvCxnSpPr/>
        </xdr:nvCxnSpPr>
        <xdr:spPr>
          <a:xfrm>
            <a:off x="11155494" y="4039901"/>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DCEF258C-8712-BAAE-632D-079204121059}"/>
              </a:ext>
            </a:extLst>
          </xdr:cNvPr>
          <xdr:cNvCxnSpPr/>
        </xdr:nvCxnSpPr>
        <xdr:spPr>
          <a:xfrm rot="16200000">
            <a:off x="11155495" y="4039901"/>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33" name="Straight Connector 32">
            <a:extLst>
              <a:ext uri="{FF2B5EF4-FFF2-40B4-BE49-F238E27FC236}">
                <a16:creationId xmlns:a16="http://schemas.microsoft.com/office/drawing/2014/main" id="{77A6DB22-0DF8-7F18-D60F-0C9832EA09AB}"/>
              </a:ext>
            </a:extLst>
          </xdr:cNvPr>
          <xdr:cNvCxnSpPr/>
        </xdr:nvCxnSpPr>
        <xdr:spPr>
          <a:xfrm rot="2700000">
            <a:off x="11151776" y="4043620"/>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94C601DF-14B0-4423-F052-1C952FF32A21}"/>
              </a:ext>
            </a:extLst>
          </xdr:cNvPr>
          <xdr:cNvCxnSpPr/>
        </xdr:nvCxnSpPr>
        <xdr:spPr>
          <a:xfrm rot="18900000" flipH="1">
            <a:off x="11151774" y="4039902"/>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304622</xdr:colOff>
      <xdr:row>21</xdr:row>
      <xdr:rowOff>34275</xdr:rowOff>
    </xdr:from>
    <xdr:to>
      <xdr:col>20</xdr:col>
      <xdr:colOff>60782</xdr:colOff>
      <xdr:row>33</xdr:row>
      <xdr:rowOff>43196</xdr:rowOff>
    </xdr:to>
    <xdr:graphicFrame macro="">
      <xdr:nvGraphicFramePr>
        <xdr:cNvPr id="35" name="Chart 34">
          <a:extLst>
            <a:ext uri="{FF2B5EF4-FFF2-40B4-BE49-F238E27FC236}">
              <a16:creationId xmlns:a16="http://schemas.microsoft.com/office/drawing/2014/main" id="{FE8FF851-AF8F-45E4-AF9C-6B963B110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18</xdr:row>
      <xdr:rowOff>152400</xdr:rowOff>
    </xdr:from>
    <xdr:to>
      <xdr:col>19</xdr:col>
      <xdr:colOff>434340</xdr:colOff>
      <xdr:row>21</xdr:row>
      <xdr:rowOff>121920</xdr:rowOff>
    </xdr:to>
    <xdr:sp macro="" textlink="Processing!L7">
      <xdr:nvSpPr>
        <xdr:cNvPr id="36" name="TextBox 35">
          <a:extLst>
            <a:ext uri="{FF2B5EF4-FFF2-40B4-BE49-F238E27FC236}">
              <a16:creationId xmlns:a16="http://schemas.microsoft.com/office/drawing/2014/main" id="{78F0457F-214C-4DA7-9EC9-86AE7804DD34}"/>
            </a:ext>
          </a:extLst>
        </xdr:cNvPr>
        <xdr:cNvSpPr txBox="1"/>
      </xdr:nvSpPr>
      <xdr:spPr>
        <a:xfrm>
          <a:off x="102489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B84F59-3F6B-403C-BD49-0165DBED0218}"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ctr"/>
            <a:t>Coverage</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163612</xdr:colOff>
      <xdr:row>20</xdr:row>
      <xdr:rowOff>114299</xdr:rowOff>
    </xdr:from>
    <xdr:to>
      <xdr:col>16</xdr:col>
      <xdr:colOff>72172</xdr:colOff>
      <xdr:row>33</xdr:row>
      <xdr:rowOff>114299</xdr:rowOff>
    </xdr:to>
    <xdr:graphicFrame macro="">
      <xdr:nvGraphicFramePr>
        <xdr:cNvPr id="37" name="Chart 36">
          <a:extLst>
            <a:ext uri="{FF2B5EF4-FFF2-40B4-BE49-F238E27FC236}">
              <a16:creationId xmlns:a16="http://schemas.microsoft.com/office/drawing/2014/main" id="{6012FD75-D52E-4B2F-853F-878A3D360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152400</xdr:colOff>
      <xdr:row>18</xdr:row>
      <xdr:rowOff>152400</xdr:rowOff>
    </xdr:from>
    <xdr:to>
      <xdr:col>16</xdr:col>
      <xdr:colOff>91440</xdr:colOff>
      <xdr:row>21</xdr:row>
      <xdr:rowOff>121920</xdr:rowOff>
    </xdr:to>
    <xdr:sp macro="" textlink="Processing!Q1">
      <xdr:nvSpPr>
        <xdr:cNvPr id="38" name="TextBox 37">
          <a:extLst>
            <a:ext uri="{FF2B5EF4-FFF2-40B4-BE49-F238E27FC236}">
              <a16:creationId xmlns:a16="http://schemas.microsoft.com/office/drawing/2014/main" id="{74BDD059-DC03-48BD-BA7F-AEF7E2B383CA}"/>
            </a:ext>
          </a:extLst>
        </xdr:cNvPr>
        <xdr:cNvSpPr txBox="1"/>
      </xdr:nvSpPr>
      <xdr:spPr>
        <a:xfrm>
          <a:off x="80772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ADF-BB5E-4C30-9F21-2092403B10E1}"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ctr"/>
            <a:t>Subscribers</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152400</xdr:colOff>
      <xdr:row>15</xdr:row>
      <xdr:rowOff>106680</xdr:rowOff>
    </xdr:from>
    <xdr:to>
      <xdr:col>11</xdr:col>
      <xdr:colOff>350520</xdr:colOff>
      <xdr:row>16</xdr:row>
      <xdr:rowOff>99060</xdr:rowOff>
    </xdr:to>
    <xdr:sp macro="" textlink="">
      <xdr:nvSpPr>
        <xdr:cNvPr id="40" name="Rectangle 39">
          <a:extLst>
            <a:ext uri="{FF2B5EF4-FFF2-40B4-BE49-F238E27FC236}">
              <a16:creationId xmlns:a16="http://schemas.microsoft.com/office/drawing/2014/main" id="{295D095C-9D7D-43B6-A1CC-F240F5AA1CE2}"/>
            </a:ext>
          </a:extLst>
        </xdr:cNvPr>
        <xdr:cNvSpPr/>
      </xdr:nvSpPr>
      <xdr:spPr>
        <a:xfrm>
          <a:off x="6858000" y="2849880"/>
          <a:ext cx="198120" cy="175260"/>
        </a:xfrm>
        <a:prstGeom prst="rect">
          <a:avLst/>
        </a:prstGeom>
        <a:solidFill>
          <a:srgbClr val="4C4D8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13</xdr:col>
      <xdr:colOff>186472</xdr:colOff>
      <xdr:row>32</xdr:row>
      <xdr:rowOff>167640</xdr:rowOff>
    </xdr:from>
    <xdr:to>
      <xdr:col>16</xdr:col>
      <xdr:colOff>49312</xdr:colOff>
      <xdr:row>35</xdr:row>
      <xdr:rowOff>48768</xdr:rowOff>
    </xdr:to>
    <mc:AlternateContent xmlns:mc="http://schemas.openxmlformats.org/markup-compatibility/2006" xmlns:a14="http://schemas.microsoft.com/office/drawing/2010/main">
      <mc:Choice Requires="a14">
        <xdr:graphicFrame macro="">
          <xdr:nvGraphicFramePr>
            <xdr:cNvPr id="41" name="Year 4">
              <a:extLst>
                <a:ext uri="{FF2B5EF4-FFF2-40B4-BE49-F238E27FC236}">
                  <a16:creationId xmlns:a16="http://schemas.microsoft.com/office/drawing/2014/main" id="{753B5EB2-6748-4FB8-9DC9-EAC67AD51B83}"/>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8111272" y="6019800"/>
              <a:ext cx="16916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8</xdr:row>
      <xdr:rowOff>99060</xdr:rowOff>
    </xdr:from>
    <xdr:to>
      <xdr:col>7</xdr:col>
      <xdr:colOff>220980</xdr:colOff>
      <xdr:row>11</xdr:row>
      <xdr:rowOff>68580</xdr:rowOff>
    </xdr:to>
    <xdr:sp macro="" textlink="Processing!Q1">
      <xdr:nvSpPr>
        <xdr:cNvPr id="42" name="TextBox 41">
          <a:extLst>
            <a:ext uri="{FF2B5EF4-FFF2-40B4-BE49-F238E27FC236}">
              <a16:creationId xmlns:a16="http://schemas.microsoft.com/office/drawing/2014/main" id="{474B44F2-A0D0-4D97-A43B-22820C5CA9E3}"/>
            </a:ext>
          </a:extLst>
        </xdr:cNvPr>
        <xdr:cNvSpPr txBox="1"/>
      </xdr:nvSpPr>
      <xdr:spPr>
        <a:xfrm>
          <a:off x="2720340" y="1562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ABADF-BB5E-4C30-9F21-2092403B10E1}"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Subscribers</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8</xdr:row>
      <xdr:rowOff>99060</xdr:rowOff>
    </xdr:from>
    <xdr:to>
      <xdr:col>10</xdr:col>
      <xdr:colOff>373380</xdr:colOff>
      <xdr:row>11</xdr:row>
      <xdr:rowOff>68580</xdr:rowOff>
    </xdr:to>
    <xdr:sp macro="" textlink="Processing!B2">
      <xdr:nvSpPr>
        <xdr:cNvPr id="43" name="TextBox 42">
          <a:extLst>
            <a:ext uri="{FF2B5EF4-FFF2-40B4-BE49-F238E27FC236}">
              <a16:creationId xmlns:a16="http://schemas.microsoft.com/office/drawing/2014/main" id="{BB78EA83-E259-4F3A-B79B-08B9799E976A}"/>
            </a:ext>
          </a:extLst>
        </xdr:cNvPr>
        <xdr:cNvSpPr txBox="1"/>
      </xdr:nvSpPr>
      <xdr:spPr>
        <a:xfrm>
          <a:off x="5372100" y="1562100"/>
          <a:ext cx="10972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Revenue</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79979</xdr:colOff>
      <xdr:row>7</xdr:row>
      <xdr:rowOff>163799</xdr:rowOff>
    </xdr:from>
    <xdr:to>
      <xdr:col>12</xdr:col>
      <xdr:colOff>201899</xdr:colOff>
      <xdr:row>11</xdr:row>
      <xdr:rowOff>163799</xdr:rowOff>
    </xdr:to>
    <xdr:graphicFrame macro="">
      <xdr:nvGraphicFramePr>
        <xdr:cNvPr id="44" name="Chart 43">
          <a:extLst>
            <a:ext uri="{FF2B5EF4-FFF2-40B4-BE49-F238E27FC236}">
              <a16:creationId xmlns:a16="http://schemas.microsoft.com/office/drawing/2014/main" id="{E0A6BACB-42C9-4E9B-AE5B-950F1FE3B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121920</xdr:colOff>
      <xdr:row>9</xdr:row>
      <xdr:rowOff>0</xdr:rowOff>
    </xdr:from>
    <xdr:to>
      <xdr:col>12</xdr:col>
      <xdr:colOff>160020</xdr:colOff>
      <xdr:row>10</xdr:row>
      <xdr:rowOff>144780</xdr:rowOff>
    </xdr:to>
    <xdr:sp macro="" textlink="Processing!Q12">
      <xdr:nvSpPr>
        <xdr:cNvPr id="45" name="TextBox 44">
          <a:extLst>
            <a:ext uri="{FF2B5EF4-FFF2-40B4-BE49-F238E27FC236}">
              <a16:creationId xmlns:a16="http://schemas.microsoft.com/office/drawing/2014/main" id="{95E692A2-EA8F-4669-A0AA-74D2F7CA1D20}"/>
            </a:ext>
          </a:extLst>
        </xdr:cNvPr>
        <xdr:cNvSpPr txBox="1"/>
      </xdr:nvSpPr>
      <xdr:spPr>
        <a:xfrm>
          <a:off x="682752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CDAE6F-69B6-4866-BB6D-4252AC533E3A}"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92%</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10</xdr:col>
      <xdr:colOff>228600</xdr:colOff>
      <xdr:row>9</xdr:row>
      <xdr:rowOff>0</xdr:rowOff>
    </xdr:from>
    <xdr:to>
      <xdr:col>11</xdr:col>
      <xdr:colOff>266700</xdr:colOff>
      <xdr:row>10</xdr:row>
      <xdr:rowOff>144780</xdr:rowOff>
    </xdr:to>
    <xdr:sp macro="" textlink="Processing!P12">
      <xdr:nvSpPr>
        <xdr:cNvPr id="46" name="TextBox 45">
          <a:extLst>
            <a:ext uri="{FF2B5EF4-FFF2-40B4-BE49-F238E27FC236}">
              <a16:creationId xmlns:a16="http://schemas.microsoft.com/office/drawing/2014/main" id="{69141EE6-3553-4126-BCAC-4927DF0AB45C}"/>
            </a:ext>
          </a:extLst>
        </xdr:cNvPr>
        <xdr:cNvSpPr txBox="1"/>
      </xdr:nvSpPr>
      <xdr:spPr>
        <a:xfrm>
          <a:off x="632460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543358-55A4-48F1-B6CD-225A712D7FB0}"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Target</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editAs="oneCell">
    <xdr:from>
      <xdr:col>5</xdr:col>
      <xdr:colOff>318567</xdr:colOff>
      <xdr:row>15</xdr:row>
      <xdr:rowOff>60960</xdr:rowOff>
    </xdr:from>
    <xdr:to>
      <xdr:col>11</xdr:col>
      <xdr:colOff>29007</xdr:colOff>
      <xdr:row>17</xdr:row>
      <xdr:rowOff>129540</xdr:rowOff>
    </xdr:to>
    <mc:AlternateContent xmlns:mc="http://schemas.openxmlformats.org/markup-compatibility/2006" xmlns:a14="http://schemas.microsoft.com/office/drawing/2010/main">
      <mc:Choice Requires="a14">
        <xdr:graphicFrame macro="">
          <xdr:nvGraphicFramePr>
            <xdr:cNvPr id="53" name="Traffic">
              <a:extLst>
                <a:ext uri="{FF2B5EF4-FFF2-40B4-BE49-F238E27FC236}">
                  <a16:creationId xmlns:a16="http://schemas.microsoft.com/office/drawing/2014/main" id="{B63E152C-B8C7-445E-9C3F-F1D052AF5ECF}"/>
                </a:ext>
              </a:extLst>
            </xdr:cNvPr>
            <xdr:cNvGraphicFramePr/>
          </xdr:nvGraphicFramePr>
          <xdr:xfrm>
            <a:off x="0" y="0"/>
            <a:ext cx="0" cy="0"/>
          </xdr:xfrm>
          <a:graphic>
            <a:graphicData uri="http://schemas.microsoft.com/office/drawing/2010/slicer">
              <sle:slicer xmlns:sle="http://schemas.microsoft.com/office/drawing/2010/slicer" name="Traffic"/>
            </a:graphicData>
          </a:graphic>
        </xdr:graphicFrame>
      </mc:Choice>
      <mc:Fallback xmlns="">
        <xdr:sp macro="" textlink="">
          <xdr:nvSpPr>
            <xdr:cNvPr id="0" name=""/>
            <xdr:cNvSpPr>
              <a:spLocks noTextEdit="1"/>
            </xdr:cNvSpPr>
          </xdr:nvSpPr>
          <xdr:spPr>
            <a:xfrm>
              <a:off x="3366567" y="2804160"/>
              <a:ext cx="3368040" cy="4343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601980</xdr:colOff>
      <xdr:row>18</xdr:row>
      <xdr:rowOff>175260</xdr:rowOff>
    </xdr:from>
    <xdr:to>
      <xdr:col>12</xdr:col>
      <xdr:colOff>327660</xdr:colOff>
      <xdr:row>33</xdr:row>
      <xdr:rowOff>175260</xdr:rowOff>
    </xdr:to>
    <xdr:graphicFrame macro="">
      <xdr:nvGraphicFramePr>
        <xdr:cNvPr id="54" name="Chart 53">
          <a:extLst>
            <a:ext uri="{FF2B5EF4-FFF2-40B4-BE49-F238E27FC236}">
              <a16:creationId xmlns:a16="http://schemas.microsoft.com/office/drawing/2014/main" id="{403211B5-FEBA-4409-8DF4-7601275E5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358140</xdr:colOff>
      <xdr:row>32</xdr:row>
      <xdr:rowOff>167640</xdr:rowOff>
    </xdr:from>
    <xdr:to>
      <xdr:col>12</xdr:col>
      <xdr:colOff>236220</xdr:colOff>
      <xdr:row>35</xdr:row>
      <xdr:rowOff>48768</xdr:rowOff>
    </xdr:to>
    <mc:AlternateContent xmlns:mc="http://schemas.openxmlformats.org/markup-compatibility/2006" xmlns:a14="http://schemas.microsoft.com/office/drawing/2010/main">
      <mc:Choice Requires="a14">
        <xdr:graphicFrame macro="">
          <xdr:nvGraphicFramePr>
            <xdr:cNvPr id="47" name="Month 4">
              <a:extLst>
                <a:ext uri="{FF2B5EF4-FFF2-40B4-BE49-F238E27FC236}">
                  <a16:creationId xmlns:a16="http://schemas.microsoft.com/office/drawing/2014/main" id="{56FFCD87-CF10-4A33-B715-D4BD405037E0}"/>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2796540" y="60198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205740</xdr:colOff>
      <xdr:row>4</xdr:row>
      <xdr:rowOff>175260</xdr:rowOff>
    </xdr:from>
    <xdr:to>
      <xdr:col>12</xdr:col>
      <xdr:colOff>297180</xdr:colOff>
      <xdr:row>12</xdr:row>
      <xdr:rowOff>30480</xdr:rowOff>
    </xdr:to>
    <xdr:sp macro="" textlink="">
      <xdr:nvSpPr>
        <xdr:cNvPr id="55" name="Rectangle: Rounded Corners 54">
          <a:hlinkClick xmlns:r="http://schemas.openxmlformats.org/officeDocument/2006/relationships" r:id="rId6"/>
          <a:extLst>
            <a:ext uri="{FF2B5EF4-FFF2-40B4-BE49-F238E27FC236}">
              <a16:creationId xmlns:a16="http://schemas.microsoft.com/office/drawing/2014/main" id="{5C3F64A6-69DD-4346-82BA-47C2C40D20D7}"/>
            </a:ext>
          </a:extLst>
        </xdr:cNvPr>
        <xdr:cNvSpPr/>
      </xdr:nvSpPr>
      <xdr:spPr>
        <a:xfrm>
          <a:off x="5082540" y="906780"/>
          <a:ext cx="252984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68580</xdr:colOff>
      <xdr:row>4</xdr:row>
      <xdr:rowOff>38100</xdr:rowOff>
    </xdr:from>
    <xdr:to>
      <xdr:col>19</xdr:col>
      <xdr:colOff>563880</xdr:colOff>
      <xdr:row>17</xdr:row>
      <xdr:rowOff>121920</xdr:rowOff>
    </xdr:to>
    <xdr:sp macro="" textlink="">
      <xdr:nvSpPr>
        <xdr:cNvPr id="56" name="Rectangle: Rounded Corners 55">
          <a:hlinkClick xmlns:r="http://schemas.openxmlformats.org/officeDocument/2006/relationships" r:id="rId7"/>
          <a:extLst>
            <a:ext uri="{FF2B5EF4-FFF2-40B4-BE49-F238E27FC236}">
              <a16:creationId xmlns:a16="http://schemas.microsoft.com/office/drawing/2014/main" id="{070B7EC0-CA7E-4386-93B5-FBDCF8C1165E}"/>
            </a:ext>
          </a:extLst>
        </xdr:cNvPr>
        <xdr:cNvSpPr/>
      </xdr:nvSpPr>
      <xdr:spPr>
        <a:xfrm>
          <a:off x="7993380" y="769620"/>
          <a:ext cx="4152900" cy="2461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53340</xdr:colOff>
      <xdr:row>18</xdr:row>
      <xdr:rowOff>137160</xdr:rowOff>
    </xdr:from>
    <xdr:to>
      <xdr:col>16</xdr:col>
      <xdr:colOff>76200</xdr:colOff>
      <xdr:row>32</xdr:row>
      <xdr:rowOff>137160</xdr:rowOff>
    </xdr:to>
    <xdr:sp macro="" textlink="">
      <xdr:nvSpPr>
        <xdr:cNvPr id="57" name="Rectangle: Rounded Corners 56">
          <a:hlinkClick xmlns:r="http://schemas.openxmlformats.org/officeDocument/2006/relationships" r:id="rId8"/>
          <a:extLst>
            <a:ext uri="{FF2B5EF4-FFF2-40B4-BE49-F238E27FC236}">
              <a16:creationId xmlns:a16="http://schemas.microsoft.com/office/drawing/2014/main" id="{3D733312-0A0D-4548-ADE9-C22C74BC4EC1}"/>
            </a:ext>
          </a:extLst>
        </xdr:cNvPr>
        <xdr:cNvSpPr/>
      </xdr:nvSpPr>
      <xdr:spPr>
        <a:xfrm>
          <a:off x="7978140" y="3429000"/>
          <a:ext cx="1851660" cy="25603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289560</xdr:colOff>
      <xdr:row>18</xdr:row>
      <xdr:rowOff>137160</xdr:rowOff>
    </xdr:from>
    <xdr:to>
      <xdr:col>19</xdr:col>
      <xdr:colOff>579120</xdr:colOff>
      <xdr:row>35</xdr:row>
      <xdr:rowOff>167640</xdr:rowOff>
    </xdr:to>
    <xdr:sp macro="" textlink="">
      <xdr:nvSpPr>
        <xdr:cNvPr id="58" name="Rectangle: Rounded Corners 57">
          <a:hlinkClick xmlns:r="http://schemas.openxmlformats.org/officeDocument/2006/relationships" r:id="rId9"/>
          <a:extLst>
            <a:ext uri="{FF2B5EF4-FFF2-40B4-BE49-F238E27FC236}">
              <a16:creationId xmlns:a16="http://schemas.microsoft.com/office/drawing/2014/main" id="{C9C635D6-9C95-4349-BAC4-227041912304}"/>
            </a:ext>
          </a:extLst>
        </xdr:cNvPr>
        <xdr:cNvSpPr/>
      </xdr:nvSpPr>
      <xdr:spPr>
        <a:xfrm>
          <a:off x="10043160" y="3429000"/>
          <a:ext cx="2118360" cy="313944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30480</xdr:colOff>
      <xdr:row>4</xdr:row>
      <xdr:rowOff>175260</xdr:rowOff>
    </xdr:from>
    <xdr:to>
      <xdr:col>7</xdr:col>
      <xdr:colOff>358140</xdr:colOff>
      <xdr:row>12</xdr:row>
      <xdr:rowOff>30480</xdr:rowOff>
    </xdr:to>
    <xdr:sp macro="" textlink="">
      <xdr:nvSpPr>
        <xdr:cNvPr id="59" name="Rectangle: Rounded Corners 58">
          <a:hlinkClick xmlns:r="http://schemas.openxmlformats.org/officeDocument/2006/relationships" r:id="rId10"/>
          <a:extLst>
            <a:ext uri="{FF2B5EF4-FFF2-40B4-BE49-F238E27FC236}">
              <a16:creationId xmlns:a16="http://schemas.microsoft.com/office/drawing/2014/main" id="{34BA5351-EFF7-4D1C-A336-0CB3E38BD187}"/>
            </a:ext>
          </a:extLst>
        </xdr:cNvPr>
        <xdr:cNvSpPr/>
      </xdr:nvSpPr>
      <xdr:spPr>
        <a:xfrm>
          <a:off x="2468880" y="906780"/>
          <a:ext cx="215646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158639</xdr:colOff>
      <xdr:row>4</xdr:row>
      <xdr:rowOff>71505</xdr:rowOff>
    </xdr:from>
    <xdr:to>
      <xdr:col>0</xdr:col>
      <xdr:colOff>432959</xdr:colOff>
      <xdr:row>5</xdr:row>
      <xdr:rowOff>143053</xdr:rowOff>
    </xdr:to>
    <xdr:grpSp>
      <xdr:nvGrpSpPr>
        <xdr:cNvPr id="48" name="Group 47">
          <a:hlinkClick xmlns:r="http://schemas.openxmlformats.org/officeDocument/2006/relationships" r:id="rId11"/>
          <a:extLst>
            <a:ext uri="{FF2B5EF4-FFF2-40B4-BE49-F238E27FC236}">
              <a16:creationId xmlns:a16="http://schemas.microsoft.com/office/drawing/2014/main" id="{460B117E-34A3-9FE4-F728-331C64B9E15A}"/>
            </a:ext>
          </a:extLst>
        </xdr:cNvPr>
        <xdr:cNvGrpSpPr/>
      </xdr:nvGrpSpPr>
      <xdr:grpSpPr>
        <a:xfrm>
          <a:off x="158639" y="833505"/>
          <a:ext cx="274320" cy="262048"/>
          <a:chOff x="2657199" y="8924774"/>
          <a:chExt cx="796566" cy="720791"/>
        </a:xfrm>
      </xdr:grpSpPr>
      <xdr:sp macro="" textlink="">
        <xdr:nvSpPr>
          <xdr:cNvPr id="60" name="Freeform: Shape 59">
            <a:extLst>
              <a:ext uri="{FF2B5EF4-FFF2-40B4-BE49-F238E27FC236}">
                <a16:creationId xmlns:a16="http://schemas.microsoft.com/office/drawing/2014/main" id="{89F49510-1887-66E7-373F-0011E8AD37E9}"/>
              </a:ext>
            </a:extLst>
          </xdr:cNvPr>
          <xdr:cNvSpPr/>
        </xdr:nvSpPr>
        <xdr:spPr>
          <a:xfrm>
            <a:off x="3139440" y="8924774"/>
            <a:ext cx="38100" cy="115904"/>
          </a:xfrm>
          <a:custGeom>
            <a:avLst/>
            <a:gdLst>
              <a:gd name="connsiteX0" fmla="*/ 0 w 38100"/>
              <a:gd name="connsiteY0" fmla="*/ 0 h 114300"/>
              <a:gd name="connsiteX1" fmla="*/ 38100 w 38100"/>
              <a:gd name="connsiteY1" fmla="*/ 0 h 114300"/>
              <a:gd name="connsiteX2" fmla="*/ 38100 w 38100"/>
              <a:gd name="connsiteY2" fmla="*/ 114300 h 114300"/>
              <a:gd name="connsiteX3" fmla="*/ 0 w 38100"/>
              <a:gd name="connsiteY3" fmla="*/ 114300 h 114300"/>
            </a:gdLst>
            <a:ahLst/>
            <a:cxnLst>
              <a:cxn ang="0">
                <a:pos x="connsiteX0" y="connsiteY0"/>
              </a:cxn>
              <a:cxn ang="0">
                <a:pos x="connsiteX1" y="connsiteY1"/>
              </a:cxn>
              <a:cxn ang="0">
                <a:pos x="connsiteX2" y="connsiteY2"/>
              </a:cxn>
              <a:cxn ang="0">
                <a:pos x="connsiteX3" y="connsiteY3"/>
              </a:cxn>
            </a:cxnLst>
            <a:rect l="l" t="t" r="r" b="b"/>
            <a:pathLst>
              <a:path w="38100" h="114300">
                <a:moveTo>
                  <a:pt x="0" y="0"/>
                </a:moveTo>
                <a:lnTo>
                  <a:pt x="38100" y="0"/>
                </a:lnTo>
                <a:lnTo>
                  <a:pt x="38100" y="114300"/>
                </a:lnTo>
                <a:lnTo>
                  <a:pt x="0" y="114300"/>
                </a:lnTo>
                <a:close/>
              </a:path>
            </a:pathLst>
          </a:custGeom>
          <a:solidFill>
            <a:srgbClr val="E993EB"/>
          </a:solidFill>
          <a:ln w="9525" cap="flat">
            <a:noFill/>
            <a:prstDash val="solid"/>
            <a:miter/>
          </a:ln>
        </xdr:spPr>
        <xdr:txBody>
          <a:bodyPr rtlCol="0" anchor="ctr"/>
          <a:lstStyle/>
          <a:p>
            <a:endParaRPr lang="ru-RU"/>
          </a:p>
        </xdr:txBody>
      </xdr:sp>
      <xdr:sp macro="" textlink="">
        <xdr:nvSpPr>
          <xdr:cNvPr id="61" name="Freeform: Shape 60">
            <a:extLst>
              <a:ext uri="{FF2B5EF4-FFF2-40B4-BE49-F238E27FC236}">
                <a16:creationId xmlns:a16="http://schemas.microsoft.com/office/drawing/2014/main" id="{9BB55F34-8315-E65C-BE22-F5FDCE3052D9}"/>
              </a:ext>
            </a:extLst>
          </xdr:cNvPr>
          <xdr:cNvSpPr/>
        </xdr:nvSpPr>
        <xdr:spPr>
          <a:xfrm rot="8100000">
            <a:off x="3270350" y="9032599"/>
            <a:ext cx="114298" cy="39703"/>
          </a:xfrm>
          <a:custGeom>
            <a:avLst/>
            <a:gdLst>
              <a:gd name="connsiteX0" fmla="*/ 0 w 114298"/>
              <a:gd name="connsiteY0" fmla="*/ 0 h 38099"/>
              <a:gd name="connsiteX1" fmla="*/ 114299 w 114298"/>
              <a:gd name="connsiteY1" fmla="*/ 0 h 38099"/>
              <a:gd name="connsiteX2" fmla="*/ 114299 w 114298"/>
              <a:gd name="connsiteY2" fmla="*/ 38100 h 38099"/>
              <a:gd name="connsiteX3" fmla="*/ 0 w 114298"/>
              <a:gd name="connsiteY3" fmla="*/ 38100 h 38099"/>
            </a:gdLst>
            <a:ahLst/>
            <a:cxnLst>
              <a:cxn ang="0">
                <a:pos x="connsiteX0" y="connsiteY0"/>
              </a:cxn>
              <a:cxn ang="0">
                <a:pos x="connsiteX1" y="connsiteY1"/>
              </a:cxn>
              <a:cxn ang="0">
                <a:pos x="connsiteX2" y="connsiteY2"/>
              </a:cxn>
              <a:cxn ang="0">
                <a:pos x="connsiteX3" y="connsiteY3"/>
              </a:cxn>
            </a:cxnLst>
            <a:rect l="l" t="t" r="r" b="b"/>
            <a:pathLst>
              <a:path w="114298" h="38099">
                <a:moveTo>
                  <a:pt x="0" y="0"/>
                </a:moveTo>
                <a:lnTo>
                  <a:pt x="114299" y="0"/>
                </a:lnTo>
                <a:lnTo>
                  <a:pt x="114299"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62" name="Freeform: Shape 61">
            <a:extLst>
              <a:ext uri="{FF2B5EF4-FFF2-40B4-BE49-F238E27FC236}">
                <a16:creationId xmlns:a16="http://schemas.microsoft.com/office/drawing/2014/main" id="{DEFCC550-EEC3-B647-9A74-A621A99ACA3E}"/>
              </a:ext>
            </a:extLst>
          </xdr:cNvPr>
          <xdr:cNvSpPr/>
        </xdr:nvSpPr>
        <xdr:spPr>
          <a:xfrm>
            <a:off x="3339465" y="9202603"/>
            <a:ext cx="114300" cy="39705"/>
          </a:xfrm>
          <a:custGeom>
            <a:avLst/>
            <a:gdLst>
              <a:gd name="connsiteX0" fmla="*/ 0 w 114300"/>
              <a:gd name="connsiteY0" fmla="*/ 0 h 38100"/>
              <a:gd name="connsiteX1" fmla="*/ 114300 w 114300"/>
              <a:gd name="connsiteY1" fmla="*/ 0 h 38100"/>
              <a:gd name="connsiteX2" fmla="*/ 114300 w 114300"/>
              <a:gd name="connsiteY2" fmla="*/ 38100 h 38100"/>
              <a:gd name="connsiteX3" fmla="*/ 0 w 114300"/>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300"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63" name="Freeform: Shape 62">
            <a:extLst>
              <a:ext uri="{FF2B5EF4-FFF2-40B4-BE49-F238E27FC236}">
                <a16:creationId xmlns:a16="http://schemas.microsoft.com/office/drawing/2014/main" id="{4720DE2D-E4DD-E742-5975-57F9682B91CE}"/>
              </a:ext>
            </a:extLst>
          </xdr:cNvPr>
          <xdr:cNvSpPr/>
        </xdr:nvSpPr>
        <xdr:spPr>
          <a:xfrm rot="8100000">
            <a:off x="3308256" y="9334274"/>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64" name="Freeform: Shape 63">
            <a:extLst>
              <a:ext uri="{FF2B5EF4-FFF2-40B4-BE49-F238E27FC236}">
                <a16:creationId xmlns:a16="http://schemas.microsoft.com/office/drawing/2014/main" id="{207D6CB1-3AD3-BAFF-2CAB-E82C4E7653C2}"/>
              </a:ext>
            </a:extLst>
          </xdr:cNvPr>
          <xdr:cNvSpPr/>
        </xdr:nvSpPr>
        <xdr:spPr>
          <a:xfrm>
            <a:off x="2863215" y="9202603"/>
            <a:ext cx="114299" cy="39705"/>
          </a:xfrm>
          <a:custGeom>
            <a:avLst/>
            <a:gdLst>
              <a:gd name="connsiteX0" fmla="*/ 0 w 114299"/>
              <a:gd name="connsiteY0" fmla="*/ 0 h 38100"/>
              <a:gd name="connsiteX1" fmla="*/ 114300 w 114299"/>
              <a:gd name="connsiteY1" fmla="*/ 0 h 38100"/>
              <a:gd name="connsiteX2" fmla="*/ 114300 w 114299"/>
              <a:gd name="connsiteY2" fmla="*/ 38100 h 38100"/>
              <a:gd name="connsiteX3" fmla="*/ 0 w 114299"/>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299"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65" name="Freeform: Shape 64">
            <a:extLst>
              <a:ext uri="{FF2B5EF4-FFF2-40B4-BE49-F238E27FC236}">
                <a16:creationId xmlns:a16="http://schemas.microsoft.com/office/drawing/2014/main" id="{C73C7A77-9EE5-B3E0-7ED1-1946BE46A687}"/>
              </a:ext>
            </a:extLst>
          </xdr:cNvPr>
          <xdr:cNvSpPr/>
        </xdr:nvSpPr>
        <xdr:spPr>
          <a:xfrm rot="8100000">
            <a:off x="2971204" y="8994981"/>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66" name="Freeform: Shape 65">
            <a:extLst>
              <a:ext uri="{FF2B5EF4-FFF2-40B4-BE49-F238E27FC236}">
                <a16:creationId xmlns:a16="http://schemas.microsoft.com/office/drawing/2014/main" id="{24510614-2916-A5DA-4233-5556BAFD7942}"/>
              </a:ext>
            </a:extLst>
          </xdr:cNvPr>
          <xdr:cNvSpPr/>
        </xdr:nvSpPr>
        <xdr:spPr>
          <a:xfrm>
            <a:off x="2657199" y="9280147"/>
            <a:ext cx="651850" cy="365418"/>
          </a:xfrm>
          <a:custGeom>
            <a:avLst/>
            <a:gdLst>
              <a:gd name="connsiteX0" fmla="*/ 558440 w 651850"/>
              <a:gd name="connsiteY0" fmla="*/ 181236 h 362210"/>
              <a:gd name="connsiteX1" fmla="*/ 544153 w 651850"/>
              <a:gd name="connsiteY1" fmla="*/ 182188 h 362210"/>
              <a:gd name="connsiteX2" fmla="*/ 544153 w 651850"/>
              <a:gd name="connsiteY2" fmla="*/ 181236 h 362210"/>
              <a:gd name="connsiteX3" fmla="*/ 496528 w 651850"/>
              <a:gd name="connsiteY3" fmla="*/ 88843 h 362210"/>
              <a:gd name="connsiteX4" fmla="*/ 393658 w 651850"/>
              <a:gd name="connsiteY4" fmla="*/ 72651 h 362210"/>
              <a:gd name="connsiteX5" fmla="*/ 239353 w 651850"/>
              <a:gd name="connsiteY5" fmla="*/ 4071 h 362210"/>
              <a:gd name="connsiteX6" fmla="*/ 133625 w 651850"/>
              <a:gd name="connsiteY6" fmla="*/ 135516 h 362210"/>
              <a:gd name="connsiteX7" fmla="*/ 24088 w 651850"/>
              <a:gd name="connsiteY7" fmla="*/ 176473 h 362210"/>
              <a:gd name="connsiteX8" fmla="*/ 9800 w 651850"/>
              <a:gd name="connsiteY8" fmla="*/ 293631 h 362210"/>
              <a:gd name="connsiteX9" fmla="*/ 106955 w 651850"/>
              <a:gd name="connsiteY9" fmla="*/ 361258 h 362210"/>
              <a:gd name="connsiteX10" fmla="*/ 564155 w 651850"/>
              <a:gd name="connsiteY10" fmla="*/ 362211 h 362210"/>
              <a:gd name="connsiteX11" fmla="*/ 651785 w 651850"/>
              <a:gd name="connsiteY11" fmla="*/ 268866 h 362210"/>
              <a:gd name="connsiteX12" fmla="*/ 558440 w 651850"/>
              <a:gd name="connsiteY12" fmla="*/ 181236 h 362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51850" h="362210">
                <a:moveTo>
                  <a:pt x="558440" y="181236"/>
                </a:moveTo>
                <a:cubicBezTo>
                  <a:pt x="553678" y="181236"/>
                  <a:pt x="548915" y="181236"/>
                  <a:pt x="544153" y="182188"/>
                </a:cubicBezTo>
                <a:cubicBezTo>
                  <a:pt x="544153" y="182188"/>
                  <a:pt x="544153" y="181236"/>
                  <a:pt x="544153" y="181236"/>
                </a:cubicBezTo>
                <a:cubicBezTo>
                  <a:pt x="544153" y="145041"/>
                  <a:pt x="527008" y="109798"/>
                  <a:pt x="496528" y="88843"/>
                </a:cubicBezTo>
                <a:cubicBezTo>
                  <a:pt x="467000" y="66936"/>
                  <a:pt x="428900" y="61221"/>
                  <a:pt x="393658" y="72651"/>
                </a:cubicBezTo>
                <a:cubicBezTo>
                  <a:pt x="364130" y="17406"/>
                  <a:pt x="300313" y="-11169"/>
                  <a:pt x="239353" y="4071"/>
                </a:cubicBezTo>
                <a:cubicBezTo>
                  <a:pt x="178393" y="18358"/>
                  <a:pt x="135530" y="72651"/>
                  <a:pt x="133625" y="135516"/>
                </a:cubicBezTo>
                <a:cubicBezTo>
                  <a:pt x="93620" y="127896"/>
                  <a:pt x="50758" y="143136"/>
                  <a:pt x="24088" y="176473"/>
                </a:cubicBezTo>
                <a:cubicBezTo>
                  <a:pt x="-1630" y="209811"/>
                  <a:pt x="-7345" y="255531"/>
                  <a:pt x="9800" y="293631"/>
                </a:cubicBezTo>
                <a:cubicBezTo>
                  <a:pt x="26945" y="332683"/>
                  <a:pt x="64093" y="358401"/>
                  <a:pt x="106955" y="361258"/>
                </a:cubicBezTo>
                <a:lnTo>
                  <a:pt x="564155" y="362211"/>
                </a:lnTo>
                <a:cubicBezTo>
                  <a:pt x="613685" y="361258"/>
                  <a:pt x="653690" y="319348"/>
                  <a:pt x="651785" y="268866"/>
                </a:cubicBezTo>
                <a:cubicBezTo>
                  <a:pt x="650833" y="219336"/>
                  <a:pt x="608923" y="180283"/>
                  <a:pt x="558440" y="181236"/>
                </a:cubicBezTo>
                <a:close/>
              </a:path>
            </a:pathLst>
          </a:custGeom>
          <a:solidFill>
            <a:schemeClr val="bg1">
              <a:lumMod val="95000"/>
            </a:schemeClr>
          </a:solidFill>
          <a:ln w="9525" cap="flat">
            <a:noFill/>
            <a:prstDash val="solid"/>
            <a:miter/>
          </a:ln>
        </xdr:spPr>
        <xdr:txBody>
          <a:bodyPr rtlCol="0" anchor="ctr"/>
          <a:lstStyle/>
          <a:p>
            <a:endParaRPr lang="ru-RU"/>
          </a:p>
        </xdr:txBody>
      </xdr:sp>
      <xdr:sp macro="" textlink="">
        <xdr:nvSpPr>
          <xdr:cNvPr id="67" name="Freeform: Shape 66">
            <a:extLst>
              <a:ext uri="{FF2B5EF4-FFF2-40B4-BE49-F238E27FC236}">
                <a16:creationId xmlns:a16="http://schemas.microsoft.com/office/drawing/2014/main" id="{433740A4-4CF7-1A95-509C-425636A22C42}"/>
              </a:ext>
            </a:extLst>
          </xdr:cNvPr>
          <xdr:cNvSpPr/>
        </xdr:nvSpPr>
        <xdr:spPr>
          <a:xfrm>
            <a:off x="3015943" y="9078229"/>
            <a:ext cx="284955" cy="281236"/>
          </a:xfrm>
          <a:custGeom>
            <a:avLst/>
            <a:gdLst>
              <a:gd name="connsiteX0" fmla="*/ 7291 w 284955"/>
              <a:gd name="connsiteY0" fmla="*/ 189144 h 279631"/>
              <a:gd name="connsiteX1" fmla="*/ 53011 w 284955"/>
              <a:gd name="connsiteY1" fmla="*/ 230102 h 279631"/>
              <a:gd name="connsiteX2" fmla="*/ 184456 w 284955"/>
              <a:gd name="connsiteY2" fmla="*/ 279632 h 279631"/>
              <a:gd name="connsiteX3" fmla="*/ 284469 w 284955"/>
              <a:gd name="connsiteY3" fmla="*/ 155807 h 279631"/>
              <a:gd name="connsiteX4" fmla="*/ 207316 w 284955"/>
              <a:gd name="connsiteY4" fmla="*/ 15789 h 279631"/>
              <a:gd name="connsiteX5" fmla="*/ 49201 w 284955"/>
              <a:gd name="connsiteY5" fmla="*/ 34839 h 279631"/>
              <a:gd name="connsiteX6" fmla="*/ 7291 w 284955"/>
              <a:gd name="connsiteY6" fmla="*/ 189144 h 279631"/>
              <a:gd name="connsiteX7" fmla="*/ 7291 w 284955"/>
              <a:gd name="connsiteY7" fmla="*/ 189144 h 2796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4955" h="279631">
                <a:moveTo>
                  <a:pt x="7291" y="189144"/>
                </a:moveTo>
                <a:cubicBezTo>
                  <a:pt x="24436" y="199622"/>
                  <a:pt x="40629" y="213909"/>
                  <a:pt x="53011" y="230102"/>
                </a:cubicBezTo>
                <a:cubicBezTo>
                  <a:pt x="102541" y="224387"/>
                  <a:pt x="151119" y="242484"/>
                  <a:pt x="184456" y="279632"/>
                </a:cubicBezTo>
                <a:cubicBezTo>
                  <a:pt x="239701" y="262487"/>
                  <a:pt x="279706" y="213909"/>
                  <a:pt x="284469" y="155807"/>
                </a:cubicBezTo>
                <a:cubicBezTo>
                  <a:pt x="289231" y="97704"/>
                  <a:pt x="258751" y="42459"/>
                  <a:pt x="207316" y="15789"/>
                </a:cubicBezTo>
                <a:cubicBezTo>
                  <a:pt x="155881" y="-10881"/>
                  <a:pt x="93016" y="-3261"/>
                  <a:pt x="49201" y="34839"/>
                </a:cubicBezTo>
                <a:cubicBezTo>
                  <a:pt x="5386" y="72939"/>
                  <a:pt x="-10806" y="133899"/>
                  <a:pt x="7291" y="189144"/>
                </a:cubicBezTo>
                <a:lnTo>
                  <a:pt x="7291" y="189144"/>
                </a:lnTo>
                <a:close/>
              </a:path>
            </a:pathLst>
          </a:custGeom>
          <a:solidFill>
            <a:srgbClr val="E993EB"/>
          </a:solidFill>
          <a:ln w="9525" cap="flat">
            <a:noFill/>
            <a:prstDash val="solid"/>
            <a:miter/>
          </a:ln>
        </xdr:spPr>
        <xdr:txBody>
          <a:bodyPr rtlCol="0" anchor="ctr"/>
          <a:lstStyle/>
          <a:p>
            <a:endParaRPr lang="ru-RU"/>
          </a:p>
        </xdr:txBody>
      </xdr:sp>
    </xdr:grpSp>
    <xdr:clientData/>
  </xdr:twoCellAnchor>
  <xdr:twoCellAnchor>
    <xdr:from>
      <xdr:col>0</xdr:col>
      <xdr:colOff>152400</xdr:colOff>
      <xdr:row>6</xdr:row>
      <xdr:rowOff>123118</xdr:rowOff>
    </xdr:from>
    <xdr:to>
      <xdr:col>0</xdr:col>
      <xdr:colOff>426720</xdr:colOff>
      <xdr:row>8</xdr:row>
      <xdr:rowOff>30876</xdr:rowOff>
    </xdr:to>
    <xdr:pic>
      <xdr:nvPicPr>
        <xdr:cNvPr id="50" name="Graphic 49" descr="Moon and stars with solid fill">
          <a:extLst>
            <a:ext uri="{FF2B5EF4-FFF2-40B4-BE49-F238E27FC236}">
              <a16:creationId xmlns:a16="http://schemas.microsoft.com/office/drawing/2014/main" id="{BF6B4656-A467-B8A7-01B3-8668FE71286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2400" y="1220398"/>
          <a:ext cx="274320" cy="273518"/>
        </a:xfrm>
        <a:prstGeom prst="rect">
          <a:avLst/>
        </a:prstGeom>
      </xdr:spPr>
    </xdr:pic>
    <xdr:clientData/>
  </xdr:twoCellAnchor>
  <xdr:twoCellAnchor>
    <xdr:from>
      <xdr:col>0</xdr:col>
      <xdr:colOff>183687</xdr:colOff>
      <xdr:row>2</xdr:row>
      <xdr:rowOff>0</xdr:rowOff>
    </xdr:from>
    <xdr:to>
      <xdr:col>0</xdr:col>
      <xdr:colOff>458007</xdr:colOff>
      <xdr:row>3</xdr:row>
      <xdr:rowOff>91440</xdr:rowOff>
    </xdr:to>
    <xdr:pic>
      <xdr:nvPicPr>
        <xdr:cNvPr id="51" name="Graphic 50" descr="Sun with solid fill">
          <a:hlinkClick xmlns:r="http://schemas.openxmlformats.org/officeDocument/2006/relationships" r:id="rId14"/>
          <a:extLst>
            <a:ext uri="{FF2B5EF4-FFF2-40B4-BE49-F238E27FC236}">
              <a16:creationId xmlns:a16="http://schemas.microsoft.com/office/drawing/2014/main" id="{B7013B2A-B4B1-AE66-5A77-947D0E10F58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83687" y="365760"/>
          <a:ext cx="274320" cy="2743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11</xdr:row>
      <xdr:rowOff>0</xdr:rowOff>
    </xdr:from>
    <xdr:to>
      <xdr:col>6</xdr:col>
      <xdr:colOff>304800</xdr:colOff>
      <xdr:row>13</xdr:row>
      <xdr:rowOff>91440</xdr:rowOff>
    </xdr:to>
    <xdr:grpSp>
      <xdr:nvGrpSpPr>
        <xdr:cNvPr id="2" name="Group 1">
          <a:extLst>
            <a:ext uri="{FF2B5EF4-FFF2-40B4-BE49-F238E27FC236}">
              <a16:creationId xmlns:a16="http://schemas.microsoft.com/office/drawing/2014/main" id="{79D7B400-1B59-4224-806C-EB5D7231A850}"/>
            </a:ext>
          </a:extLst>
        </xdr:cNvPr>
        <xdr:cNvGrpSpPr/>
      </xdr:nvGrpSpPr>
      <xdr:grpSpPr>
        <a:xfrm>
          <a:off x="3048000" y="2095500"/>
          <a:ext cx="914400" cy="472440"/>
          <a:chOff x="6195060" y="3608070"/>
          <a:chExt cx="914400" cy="457200"/>
        </a:xfrm>
      </xdr:grpSpPr>
      <xdr:sp macro="" textlink="">
        <xdr:nvSpPr>
          <xdr:cNvPr id="3" name="Rectangle: Rounded Corners 2">
            <a:extLst>
              <a:ext uri="{FF2B5EF4-FFF2-40B4-BE49-F238E27FC236}">
                <a16:creationId xmlns:a16="http://schemas.microsoft.com/office/drawing/2014/main" id="{CE21500E-FE4E-4E2F-0C75-A7FBB72284E0}"/>
              </a:ext>
            </a:extLst>
          </xdr:cNvPr>
          <xdr:cNvSpPr/>
        </xdr:nvSpPr>
        <xdr:spPr>
          <a:xfrm>
            <a:off x="6195060" y="3653790"/>
            <a:ext cx="914400" cy="365760"/>
          </a:xfrm>
          <a:prstGeom prst="roundRect">
            <a:avLst>
              <a:gd name="adj" fmla="val 50000"/>
            </a:avLst>
          </a:prstGeom>
          <a:solidFill>
            <a:srgbClr val="61A7F5"/>
          </a:solidFill>
          <a:ln>
            <a:noFill/>
          </a:ln>
          <a:effectLst>
            <a:innerShdw blurRad="381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 name="Oval 3">
            <a:extLst>
              <a:ext uri="{FF2B5EF4-FFF2-40B4-BE49-F238E27FC236}">
                <a16:creationId xmlns:a16="http://schemas.microsoft.com/office/drawing/2014/main" id="{C3AB5BF4-64F1-1B47-3725-B23CA9FDF186}"/>
              </a:ext>
            </a:extLst>
          </xdr:cNvPr>
          <xdr:cNvSpPr/>
        </xdr:nvSpPr>
        <xdr:spPr>
          <a:xfrm>
            <a:off x="6652260" y="3608070"/>
            <a:ext cx="457200" cy="457200"/>
          </a:xfrm>
          <a:prstGeom prst="ellipse">
            <a:avLst/>
          </a:prstGeom>
          <a:solidFill>
            <a:srgbClr val="61A7F5"/>
          </a:solidFill>
          <a:ln>
            <a:noFill/>
          </a:ln>
          <a:effectLst>
            <a:outerShdw blurRad="50800" dist="38100" dir="8100000" algn="tr"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5</xdr:col>
      <xdr:colOff>0</xdr:colOff>
      <xdr:row>14</xdr:row>
      <xdr:rowOff>76200</xdr:rowOff>
    </xdr:from>
    <xdr:to>
      <xdr:col>6</xdr:col>
      <xdr:colOff>304800</xdr:colOff>
      <xdr:row>16</xdr:row>
      <xdr:rowOff>167640</xdr:rowOff>
    </xdr:to>
    <xdr:grpSp>
      <xdr:nvGrpSpPr>
        <xdr:cNvPr id="5" name="Group 4">
          <a:extLst>
            <a:ext uri="{FF2B5EF4-FFF2-40B4-BE49-F238E27FC236}">
              <a16:creationId xmlns:a16="http://schemas.microsoft.com/office/drawing/2014/main" id="{CADC0145-6657-4C5C-ABB1-C2B2C77726E5}"/>
            </a:ext>
          </a:extLst>
        </xdr:cNvPr>
        <xdr:cNvGrpSpPr/>
      </xdr:nvGrpSpPr>
      <xdr:grpSpPr>
        <a:xfrm>
          <a:off x="3048000" y="2743200"/>
          <a:ext cx="914400" cy="472440"/>
          <a:chOff x="6195060" y="4232910"/>
          <a:chExt cx="914400" cy="457200"/>
        </a:xfrm>
      </xdr:grpSpPr>
      <xdr:sp macro="" textlink="">
        <xdr:nvSpPr>
          <xdr:cNvPr id="6" name="Rectangle: Rounded Corners 5">
            <a:extLst>
              <a:ext uri="{FF2B5EF4-FFF2-40B4-BE49-F238E27FC236}">
                <a16:creationId xmlns:a16="http://schemas.microsoft.com/office/drawing/2014/main" id="{0AC8045B-277F-B04F-C5E5-A7D43C01A514}"/>
              </a:ext>
            </a:extLst>
          </xdr:cNvPr>
          <xdr:cNvSpPr/>
        </xdr:nvSpPr>
        <xdr:spPr>
          <a:xfrm>
            <a:off x="6195060" y="4278630"/>
            <a:ext cx="914400" cy="365760"/>
          </a:xfrm>
          <a:prstGeom prst="roundRect">
            <a:avLst>
              <a:gd name="adj" fmla="val 50000"/>
            </a:avLst>
          </a:prstGeom>
          <a:solidFill>
            <a:schemeClr val="tx1">
              <a:lumMod val="75000"/>
              <a:lumOff val="25000"/>
            </a:schemeClr>
          </a:solidFill>
          <a:ln>
            <a:noFill/>
          </a:ln>
          <a:effectLst>
            <a:innerShdw blurRad="2286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 name="Oval 6">
            <a:extLst>
              <a:ext uri="{FF2B5EF4-FFF2-40B4-BE49-F238E27FC236}">
                <a16:creationId xmlns:a16="http://schemas.microsoft.com/office/drawing/2014/main" id="{A1FFCC0C-2B0D-08BF-573E-451ABBA38E19}"/>
              </a:ext>
            </a:extLst>
          </xdr:cNvPr>
          <xdr:cNvSpPr/>
        </xdr:nvSpPr>
        <xdr:spPr>
          <a:xfrm>
            <a:off x="6195060" y="4232910"/>
            <a:ext cx="457200" cy="457200"/>
          </a:xfrm>
          <a:prstGeom prst="ellipse">
            <a:avLst/>
          </a:prstGeom>
          <a:solidFill>
            <a:schemeClr val="tx1">
              <a:lumMod val="75000"/>
              <a:lumOff val="25000"/>
            </a:schemeClr>
          </a:solidFill>
          <a:ln>
            <a:noFill/>
          </a:ln>
          <a:effectLst>
            <a:outerShdw blurRad="50800" dist="38100" dir="8100000" algn="tr"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9</xdr:col>
      <xdr:colOff>0</xdr:colOff>
      <xdr:row>9</xdr:row>
      <xdr:rowOff>0</xdr:rowOff>
    </xdr:from>
    <xdr:to>
      <xdr:col>11</xdr:col>
      <xdr:colOff>551778</xdr:colOff>
      <xdr:row>18</xdr:row>
      <xdr:rowOff>150607</xdr:rowOff>
    </xdr:to>
    <xdr:sp macro="" textlink="">
      <xdr:nvSpPr>
        <xdr:cNvPr id="8" name="Rectangle: Rounded Corners 7">
          <a:extLst>
            <a:ext uri="{FF2B5EF4-FFF2-40B4-BE49-F238E27FC236}">
              <a16:creationId xmlns:a16="http://schemas.microsoft.com/office/drawing/2014/main" id="{F08AE721-32F0-4144-8646-B2D264F4CBF4}"/>
            </a:ext>
          </a:extLst>
        </xdr:cNvPr>
        <xdr:cNvSpPr/>
      </xdr:nvSpPr>
      <xdr:spPr>
        <a:xfrm>
          <a:off x="5486400" y="1645920"/>
          <a:ext cx="1770978" cy="1796527"/>
        </a:xfrm>
        <a:prstGeom prst="roundRect">
          <a:avLst>
            <a:gd name="adj" fmla="val 8763"/>
          </a:avLst>
        </a:prstGeom>
        <a:gradFill>
          <a:gsLst>
            <a:gs pos="28000">
              <a:srgbClr val="00B0F0"/>
            </a:gs>
            <a:gs pos="0">
              <a:srgbClr val="5DCBF4"/>
            </a:gs>
            <a:gs pos="89000">
              <a:srgbClr val="CC72EA"/>
            </a:gs>
          </a:gsLst>
          <a:lin ang="8100000" scaled="1"/>
        </a:gradFill>
        <a:ln>
          <a:noFill/>
        </a:ln>
        <a:effectLst>
          <a:outerShdw blurRad="254000" dist="127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86.477266319445" createdVersion="8" refreshedVersion="8" minRefreshableVersion="3" recordCount="2" xr:uid="{96F32BAD-B1A3-4E9F-89F3-974BEB07E652}">
  <cacheSource type="worksheet">
    <worksheetSource ref="I17:I19" sheet="Processing"/>
  </cacheSource>
  <cacheFields count="1">
    <cacheField name="Tariffs" numFmtId="0">
      <sharedItems count="3">
        <s v="Standart"/>
        <s v="Premium"/>
        <s v="Pro" u="1"/>
      </sharedItems>
    </cacheField>
  </cacheFields>
  <extLst>
    <ext xmlns:x14="http://schemas.microsoft.com/office/spreadsheetml/2009/9/main" uri="{725AE2AE-9491-48be-B2B4-4EB974FC3084}">
      <x14:pivotCacheDefinition pivotCacheId="2402539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86.47726712963" createdVersion="8" refreshedVersion="8" minRefreshableVersion="3" recordCount="48" xr:uid="{7C53E09C-AA06-4319-977C-768424C90D3D}">
  <cacheSource type="worksheet">
    <worksheetSource name="mydata"/>
  </cacheSource>
  <cacheFields count="25">
    <cacheField name="Year" numFmtId="0">
      <sharedItems containsSemiMixedTypes="0" containsString="0" containsNumber="1" containsInteger="1" minValue="2025" maxValue="2028" count="4">
        <n v="2025"/>
        <n v="2026"/>
        <n v="2027"/>
        <n v="2028"/>
      </sharedItems>
    </cacheField>
    <cacheField name="Month" numFmtId="0">
      <sharedItems count="12">
        <s v="JAN"/>
        <s v="FEB"/>
        <s v="MAR"/>
        <s v="APR"/>
        <s v="MAY"/>
        <s v="JUN"/>
        <s v="JUL"/>
        <s v="AUG"/>
        <s v="SEP"/>
        <s v="OCT"/>
        <s v="NOV"/>
        <s v="DEC"/>
      </sharedItems>
    </cacheField>
    <cacheField name="Revenue" numFmtId="0">
      <sharedItems containsSemiMixedTypes="0" containsString="0" containsNumber="1" containsInteger="1" minValue="31175" maxValue="153629"/>
    </cacheField>
    <cacheField name="Expenses" numFmtId="0">
      <sharedItems containsSemiMixedTypes="0" containsString="0" containsNumber="1" containsInteger="1" minValue="16760" maxValue="128340"/>
    </cacheField>
    <cacheField name="Sales Target" numFmtId="0">
      <sharedItems containsSemiMixedTypes="0" containsString="0" containsNumber="1" containsInteger="1" minValue="45000" maxValue="100000"/>
    </cacheField>
    <cacheField name="Standart" numFmtId="0">
      <sharedItems containsSemiMixedTypes="0" containsString="0" containsNumber="1" containsInteger="1" minValue="59" maxValue="1798"/>
    </cacheField>
    <cacheField name="Premium" numFmtId="0">
      <sharedItems containsSemiMixedTypes="0" containsString="0" containsNumber="1" containsInteger="1" minValue="41" maxValue="913"/>
    </cacheField>
    <cacheField name="Subscribers" numFmtId="0">
      <sharedItems containsSemiMixedTypes="0" containsString="0" containsNumber="1" containsInteger="1" minValue="100" maxValue="2000"/>
    </cacheField>
    <cacheField name="Subscribers Target" numFmtId="0">
      <sharedItems containsSemiMixedTypes="0" containsString="0" containsNumber="1" containsInteger="1" minValue="300" maxValue="1800"/>
    </cacheField>
    <cacheField name="Leads" numFmtId="0">
      <sharedItems containsSemiMixedTypes="0" containsString="0" containsNumber="1" containsInteger="1" minValue="158" maxValue="5415"/>
    </cacheField>
    <cacheField name="Deals" numFmtId="0">
      <sharedItems containsSemiMixedTypes="0" containsString="0" containsNumber="1" containsInteger="1" minValue="138" maxValue="2882"/>
    </cacheField>
    <cacheField name="Referral" numFmtId="9">
      <sharedItems containsSemiMixedTypes="0" containsString="0" containsNumber="1" minValue="0.06" maxValue="0.25"/>
    </cacheField>
    <cacheField name="Social" numFmtId="9">
      <sharedItems containsSemiMixedTypes="0" containsString="0" containsNumber="1" minValue="0.2" maxValue="0.5"/>
    </cacheField>
    <cacheField name="Organic" numFmtId="9">
      <sharedItems containsSemiMixedTypes="0" containsString="0" containsNumber="1" minValue="9.6666666666666679E-2" maxValue="0.22333333333333336"/>
    </cacheField>
    <cacheField name="Other" numFmtId="9">
      <sharedItems containsSemiMixedTypes="0" containsString="0" containsNumber="1" minValue="0.10666666666666658" maxValue="0.61333333333333329"/>
    </cacheField>
    <cacheField name="N" numFmtId="9">
      <sharedItems containsSemiMixedTypes="0" containsString="0" containsNumber="1" minValue="0.2" maxValue="1"/>
    </cacheField>
    <cacheField name="NE" numFmtId="9">
      <sharedItems containsSemiMixedTypes="0" containsString="0" containsNumber="1" minValue="0.2" maxValue="1"/>
    </cacheField>
    <cacheField name="E" numFmtId="9">
      <sharedItems containsSemiMixedTypes="0" containsString="0" containsNumber="1" minValue="0.2" maxValue="1"/>
    </cacheField>
    <cacheField name="SE" numFmtId="9">
      <sharedItems containsSemiMixedTypes="0" containsString="0" containsNumber="1" minValue="0.2" maxValue="1"/>
    </cacheField>
    <cacheField name="S" numFmtId="9">
      <sharedItems containsSemiMixedTypes="0" containsString="0" containsNumber="1" minValue="0.2" maxValue="1"/>
    </cacheField>
    <cacheField name="SW" numFmtId="9">
      <sharedItems containsSemiMixedTypes="0" containsString="0" containsNumber="1" minValue="0.2" maxValue="1"/>
    </cacheField>
    <cacheField name="W" numFmtId="9">
      <sharedItems containsSemiMixedTypes="0" containsString="0" containsNumber="1" minValue="0.2" maxValue="1"/>
    </cacheField>
    <cacheField name="NW" numFmtId="9">
      <sharedItems containsSemiMixedTypes="0" containsString="0" containsNumber="1" minValue="0.1" maxValue="1"/>
    </cacheField>
    <cacheField name="Coverage Target" numFmtId="9">
      <sharedItems containsSemiMixedTypes="0" containsString="0" containsNumber="1" minValue="0.5" maxValue="1"/>
    </cacheField>
    <cacheField name="Profit" numFmtId="0" formula="Revenue-Expenses" databaseField="0"/>
  </cacheFields>
  <extLst>
    <ext xmlns:x14="http://schemas.microsoft.com/office/spreadsheetml/2009/9/main" uri="{725AE2AE-9491-48be-B2B4-4EB974FC3084}">
      <x14:pivotCacheDefinition pivotCacheId="174017478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86.477269675925" createdVersion="8" refreshedVersion="8" minRefreshableVersion="3" recordCount="3" xr:uid="{F9FFE8F3-B365-4BD1-9FC6-D89B69C541B8}">
  <cacheSource type="worksheet">
    <worksheetSource ref="I5:I8" sheet="Processing"/>
  </cacheSource>
  <cacheFields count="1">
    <cacheField name="Indicators" numFmtId="0">
      <sharedItems count="3">
        <s v="Revenue"/>
        <s v="Expenses"/>
        <s v="Profit"/>
      </sharedItems>
    </cacheField>
  </cacheFields>
  <extLst>
    <ext xmlns:x14="http://schemas.microsoft.com/office/spreadsheetml/2009/9/main" uri="{725AE2AE-9491-48be-B2B4-4EB974FC3084}">
      <x14:pivotCacheDefinition pivotCacheId="97031727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86.501441435183" createdVersion="8" refreshedVersion="8" minRefreshableVersion="3" recordCount="4" xr:uid="{49460488-3D1A-4152-977C-FD19B4D754BE}">
  <cacheSource type="worksheet">
    <worksheetSource ref="Q17:Q21" sheet="Processing"/>
  </cacheSource>
  <cacheFields count="1">
    <cacheField name="Traffic" numFmtId="0">
      <sharedItems count="4">
        <s v="Referral"/>
        <s v="Social"/>
        <s v="Organic"/>
        <s v="Other"/>
      </sharedItems>
    </cacheField>
  </cacheFields>
  <extLst>
    <ext xmlns:x14="http://schemas.microsoft.com/office/spreadsheetml/2009/9/main" uri="{725AE2AE-9491-48be-B2B4-4EB974FC3084}">
      <x14:pivotCacheDefinition pivotCacheId="622540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r>
  <r>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37835"/>
    <n v="26660"/>
    <n v="45000"/>
    <n v="59"/>
    <n v="41"/>
    <n v="100"/>
    <n v="300"/>
    <n v="158"/>
    <n v="138"/>
    <n v="0.17"/>
    <n v="0.48"/>
    <n v="0.21666666666666667"/>
    <n v="0.1333333333333333"/>
    <n v="0.2"/>
    <n v="0.2"/>
    <n v="0.2"/>
    <n v="0.2"/>
    <n v="0.2"/>
    <n v="0.2"/>
    <n v="0.2"/>
    <n v="0.1"/>
    <n v="0.5"/>
  </r>
  <r>
    <x v="0"/>
    <x v="1"/>
    <n v="48805"/>
    <n v="32060"/>
    <n v="45000"/>
    <n v="68"/>
    <n v="67"/>
    <n v="135"/>
    <n v="300"/>
    <n v="193"/>
    <n v="193"/>
    <n v="0.1"/>
    <n v="0.31"/>
    <n v="0.13666666666666669"/>
    <n v="0.45333333333333325"/>
    <n v="0.4"/>
    <n v="0.2"/>
    <n v="0.2"/>
    <n v="0.2"/>
    <n v="0.2"/>
    <n v="0.2"/>
    <n v="0.2"/>
    <n v="0.2"/>
    <n v="0.5"/>
  </r>
  <r>
    <x v="0"/>
    <x v="2"/>
    <n v="52169"/>
    <n v="35760"/>
    <n v="45000"/>
    <n v="165"/>
    <n v="42"/>
    <n v="207"/>
    <n v="300"/>
    <n v="602"/>
    <n v="335"/>
    <n v="0.08"/>
    <n v="0.37"/>
    <n v="0.15"/>
    <n v="0.4"/>
    <n v="0.4"/>
    <n v="0.4"/>
    <n v="0.2"/>
    <n v="0.2"/>
    <n v="0.2"/>
    <n v="0.2"/>
    <n v="0.2"/>
    <n v="0.2"/>
    <n v="0.5"/>
  </r>
  <r>
    <x v="0"/>
    <x v="3"/>
    <n v="47883"/>
    <n v="36560"/>
    <n v="45000"/>
    <n v="151"/>
    <n v="131"/>
    <n v="282"/>
    <n v="300"/>
    <n v="569"/>
    <n v="386"/>
    <n v="0.24"/>
    <n v="0.33"/>
    <n v="0.19000000000000003"/>
    <n v="0.23999999999999988"/>
    <n v="0.4"/>
    <n v="0.4"/>
    <n v="0.4"/>
    <n v="0.2"/>
    <n v="0.2"/>
    <n v="0.2"/>
    <n v="0.2"/>
    <n v="0.2"/>
    <n v="0.5"/>
  </r>
  <r>
    <x v="0"/>
    <x v="4"/>
    <n v="39309"/>
    <n v="34220"/>
    <n v="45000"/>
    <n v="117"/>
    <n v="53"/>
    <n v="170"/>
    <n v="300"/>
    <n v="336"/>
    <n v="210"/>
    <n v="0.08"/>
    <n v="0.4"/>
    <n v="0.16"/>
    <n v="0.36"/>
    <n v="0.4"/>
    <n v="0.4"/>
    <n v="0.4"/>
    <n v="0.4"/>
    <n v="0.2"/>
    <n v="0.2"/>
    <n v="0.2"/>
    <n v="0.2"/>
    <n v="0.5"/>
  </r>
  <r>
    <x v="0"/>
    <x v="5"/>
    <n v="31455"/>
    <n v="29500"/>
    <n v="45000"/>
    <n v="230"/>
    <n v="63"/>
    <n v="293"/>
    <n v="300"/>
    <n v="471"/>
    <n v="345"/>
    <n v="0.14000000000000001"/>
    <n v="0.39"/>
    <n v="0.17666666666666667"/>
    <n v="0.29333333333333333"/>
    <n v="0.4"/>
    <n v="0.4"/>
    <n v="0.4"/>
    <n v="0.4"/>
    <n v="0.4"/>
    <n v="0.2"/>
    <n v="0.2"/>
    <n v="0.2"/>
    <n v="0.5"/>
  </r>
  <r>
    <x v="0"/>
    <x v="6"/>
    <n v="31175"/>
    <n v="23820"/>
    <n v="45000"/>
    <n v="270"/>
    <n v="136"/>
    <n v="406"/>
    <n v="300"/>
    <n v="840"/>
    <n v="604"/>
    <n v="0.19"/>
    <n v="0.28000000000000003"/>
    <n v="0.15666666666666668"/>
    <n v="0.37333333333333329"/>
    <n v="0.4"/>
    <n v="0.4"/>
    <n v="0.4"/>
    <n v="0.4"/>
    <n v="0.4"/>
    <n v="0.4"/>
    <n v="0.2"/>
    <n v="0.2"/>
    <n v="0.5"/>
  </r>
  <r>
    <x v="0"/>
    <x v="7"/>
    <n v="43810"/>
    <n v="19100"/>
    <n v="45000"/>
    <n v="318"/>
    <n v="96"/>
    <n v="414"/>
    <n v="300"/>
    <n v="1010"/>
    <n v="554"/>
    <n v="0.14000000000000001"/>
    <n v="0.39"/>
    <n v="0.17666666666666667"/>
    <n v="0.29333333333333333"/>
    <n v="0.4"/>
    <n v="0.4"/>
    <n v="0.4"/>
    <n v="0.4"/>
    <n v="0.4"/>
    <n v="0.4"/>
    <n v="0.4"/>
    <n v="0.2"/>
    <n v="0.5"/>
  </r>
  <r>
    <x v="0"/>
    <x v="8"/>
    <n v="50097"/>
    <n v="16760"/>
    <n v="45000"/>
    <n v="352"/>
    <n v="53"/>
    <n v="405"/>
    <n v="300"/>
    <n v="599"/>
    <n v="542"/>
    <n v="0.19"/>
    <n v="0.24"/>
    <n v="0.14333333333333334"/>
    <n v="0.42666666666666664"/>
    <n v="0.4"/>
    <n v="0.4"/>
    <n v="0.4"/>
    <n v="0.4"/>
    <n v="0.4"/>
    <n v="0.4"/>
    <n v="0.4"/>
    <n v="0.4"/>
    <n v="0.5"/>
  </r>
  <r>
    <x v="0"/>
    <x v="9"/>
    <n v="50762"/>
    <n v="17560"/>
    <n v="45000"/>
    <n v="323"/>
    <n v="163"/>
    <n v="486"/>
    <n v="300"/>
    <n v="763"/>
    <n v="568"/>
    <n v="0.17"/>
    <n v="0.22"/>
    <n v="0.13"/>
    <n v="0.48"/>
    <n v="0.55000000000000004"/>
    <n v="0.4"/>
    <n v="0.4"/>
    <n v="0.4"/>
    <n v="0.4"/>
    <n v="0.4"/>
    <n v="0.4"/>
    <n v="0.4"/>
    <n v="0.5"/>
  </r>
  <r>
    <x v="0"/>
    <x v="10"/>
    <n v="45773"/>
    <n v="21260"/>
    <n v="45000"/>
    <n v="284"/>
    <n v="165"/>
    <n v="449"/>
    <n v="300"/>
    <n v="1279"/>
    <n v="682"/>
    <n v="0.17"/>
    <n v="0.26"/>
    <n v="0.14333333333333334"/>
    <n v="0.42666666666666664"/>
    <n v="0.55000000000000004"/>
    <n v="0.55000000000000004"/>
    <n v="0.4"/>
    <n v="0.4"/>
    <n v="0.4"/>
    <n v="0.4"/>
    <n v="0.4"/>
    <n v="0.4"/>
    <n v="0.5"/>
  </r>
  <r>
    <x v="0"/>
    <x v="11"/>
    <n v="46402"/>
    <n v="26660"/>
    <n v="45000"/>
    <n v="235"/>
    <n v="291"/>
    <n v="526"/>
    <n v="300"/>
    <n v="878"/>
    <n v="552"/>
    <n v="0.21"/>
    <n v="0.45"/>
    <n v="0.22"/>
    <n v="0.12"/>
    <n v="0.55000000000000004"/>
    <n v="0.55000000000000004"/>
    <n v="0.55000000000000004"/>
    <n v="0.4"/>
    <n v="0.4"/>
    <n v="0.4"/>
    <n v="0.4"/>
    <n v="0.4"/>
    <n v="0.5"/>
  </r>
  <r>
    <x v="1"/>
    <x v="0"/>
    <n v="63206"/>
    <n v="39690"/>
    <n v="65000"/>
    <n v="367"/>
    <n v="228"/>
    <n v="595"/>
    <n v="900"/>
    <n v="1654"/>
    <n v="1029"/>
    <n v="0.24"/>
    <n v="0.31"/>
    <n v="0.18333333333333335"/>
    <n v="0.26666666666666661"/>
    <n v="0.55000000000000004"/>
    <n v="0.55000000000000004"/>
    <n v="0.55000000000000004"/>
    <n v="0.55000000000000004"/>
    <n v="0.4"/>
    <n v="0.4"/>
    <n v="0.4"/>
    <n v="0.4"/>
    <n v="0.7"/>
  </r>
  <r>
    <x v="1"/>
    <x v="1"/>
    <n v="79277"/>
    <n v="49690"/>
    <n v="65000"/>
    <n v="338"/>
    <n v="211"/>
    <n v="549"/>
    <n v="900"/>
    <n v="1603"/>
    <n v="966"/>
    <n v="0.14000000000000001"/>
    <n v="0.41"/>
    <n v="0.18333333333333335"/>
    <n v="0.26666666666666661"/>
    <n v="0.55000000000000004"/>
    <n v="0.55000000000000004"/>
    <n v="0.55000000000000004"/>
    <n v="0.55000000000000004"/>
    <n v="0.55000000000000004"/>
    <n v="0.4"/>
    <n v="0.4"/>
    <n v="0.4"/>
    <n v="0.7"/>
  </r>
  <r>
    <x v="1"/>
    <x v="2"/>
    <n v="82217"/>
    <n v="50270"/>
    <n v="65000"/>
    <n v="397"/>
    <n v="200"/>
    <n v="597"/>
    <n v="900"/>
    <n v="1259"/>
    <n v="1026"/>
    <n v="0.19"/>
    <n v="0.47"/>
    <n v="0.21999999999999997"/>
    <n v="0.12000000000000011"/>
    <n v="0.55000000000000004"/>
    <n v="0.55000000000000004"/>
    <n v="0.55000000000000004"/>
    <n v="0.55000000000000004"/>
    <n v="0.55000000000000004"/>
    <n v="0.55000000000000004"/>
    <n v="0.4"/>
    <n v="0.4"/>
    <n v="0.7"/>
  </r>
  <r>
    <x v="1"/>
    <x v="3"/>
    <n v="74656"/>
    <n v="47270"/>
    <n v="65000"/>
    <n v="582"/>
    <n v="102"/>
    <n v="684"/>
    <n v="900"/>
    <n v="1128"/>
    <n v="875"/>
    <n v="7.0000000000000007E-2"/>
    <n v="0.46"/>
    <n v="0.17666666666666667"/>
    <n v="0.29333333333333333"/>
    <n v="0.55000000000000004"/>
    <n v="0.55000000000000004"/>
    <n v="0.55000000000000004"/>
    <n v="0.55000000000000004"/>
    <n v="0.55000000000000004"/>
    <n v="0.55000000000000004"/>
    <n v="0.55000000000000004"/>
    <n v="0.4"/>
    <n v="0.7"/>
  </r>
  <r>
    <x v="1"/>
    <x v="4"/>
    <n v="57205"/>
    <n v="35250"/>
    <n v="65000"/>
    <n v="588"/>
    <n v="118"/>
    <n v="706"/>
    <n v="900"/>
    <n v="1397"/>
    <n v="995"/>
    <n v="0.1"/>
    <n v="0.28999999999999998"/>
    <n v="0.13"/>
    <n v="0.48"/>
    <n v="0.55000000000000004"/>
    <n v="0.55000000000000004"/>
    <n v="0.55000000000000004"/>
    <n v="0.55000000000000004"/>
    <n v="0.55000000000000004"/>
    <n v="0.55000000000000004"/>
    <n v="0.55000000000000004"/>
    <n v="0.55000000000000004"/>
    <n v="0.7"/>
  </r>
  <r>
    <x v="1"/>
    <x v="5"/>
    <n v="43908"/>
    <n v="35250"/>
    <n v="65000"/>
    <n v="406"/>
    <n v="362"/>
    <n v="768"/>
    <n v="900"/>
    <n v="906"/>
    <n v="829"/>
    <n v="0.23"/>
    <n v="0.38"/>
    <n v="0.20333333333333334"/>
    <n v="0.18666666666666665"/>
    <n v="0.7"/>
    <n v="0.55000000000000004"/>
    <n v="0.55000000000000004"/>
    <n v="0.55000000000000004"/>
    <n v="0.55000000000000004"/>
    <n v="0.55000000000000004"/>
    <n v="0.55000000000000004"/>
    <n v="0.55000000000000004"/>
    <n v="0.7"/>
  </r>
  <r>
    <x v="1"/>
    <x v="6"/>
    <n v="43905"/>
    <n v="44070"/>
    <n v="65000"/>
    <n v="332"/>
    <n v="388"/>
    <n v="720"/>
    <n v="900"/>
    <n v="1929"/>
    <n v="770"/>
    <n v="0.17"/>
    <n v="0.33"/>
    <n v="0.16666666666666666"/>
    <n v="0.33333333333333337"/>
    <n v="0.7"/>
    <n v="0.7"/>
    <n v="0.55000000000000004"/>
    <n v="0.55000000000000004"/>
    <n v="0.55000000000000004"/>
    <n v="0.55000000000000004"/>
    <n v="0.55000000000000004"/>
    <n v="0.55000000000000004"/>
    <n v="0.7"/>
  </r>
  <r>
    <x v="1"/>
    <x v="7"/>
    <n v="57209"/>
    <n v="45370"/>
    <n v="65000"/>
    <n v="719"/>
    <n v="93"/>
    <n v="812"/>
    <n v="900"/>
    <n v="2086"/>
    <n v="1039"/>
    <n v="0.12"/>
    <n v="0.37"/>
    <n v="0.16333333333333333"/>
    <n v="0.34666666666666668"/>
    <n v="0.7"/>
    <n v="0.7"/>
    <n v="0.7"/>
    <n v="0.55000000000000004"/>
    <n v="0.55000000000000004"/>
    <n v="0.55000000000000004"/>
    <n v="0.55000000000000004"/>
    <n v="0.55000000000000004"/>
    <n v="0.7"/>
  </r>
  <r>
    <x v="1"/>
    <x v="8"/>
    <n v="74658"/>
    <n v="56490"/>
    <n v="65000"/>
    <n v="476"/>
    <n v="423"/>
    <n v="899"/>
    <n v="900"/>
    <n v="2085"/>
    <n v="1303"/>
    <n v="0.16"/>
    <n v="0.37"/>
    <n v="0.17666666666666667"/>
    <n v="0.29333333333333333"/>
    <n v="0.7"/>
    <n v="0.7"/>
    <n v="0.7"/>
    <n v="0.7"/>
    <n v="0.55000000000000004"/>
    <n v="0.55000000000000004"/>
    <n v="0.55000000000000004"/>
    <n v="0.55000000000000004"/>
    <n v="0.7"/>
  </r>
  <r>
    <x v="1"/>
    <x v="9"/>
    <n v="83203"/>
    <n v="61490"/>
    <n v="65000"/>
    <n v="528"/>
    <n v="412"/>
    <n v="940"/>
    <n v="900"/>
    <n v="2086"/>
    <n v="1579"/>
    <n v="0.24"/>
    <n v="0.43"/>
    <n v="0.2233333333333333"/>
    <n v="0.1066666666666668"/>
    <n v="0.7"/>
    <n v="0.7"/>
    <n v="0.7"/>
    <n v="0.7"/>
    <n v="0.7"/>
    <n v="0.55000000000000004"/>
    <n v="0.55000000000000004"/>
    <n v="0.55000000000000004"/>
    <n v="0.7"/>
  </r>
  <r>
    <x v="1"/>
    <x v="10"/>
    <n v="79282"/>
    <n v="57770"/>
    <n v="65000"/>
    <n v="524"/>
    <n v="468"/>
    <n v="992"/>
    <n v="900"/>
    <n v="2370"/>
    <n v="1071"/>
    <n v="0.17"/>
    <n v="0.42"/>
    <n v="0.19666666666666666"/>
    <n v="0.21333333333333337"/>
    <n v="0.7"/>
    <n v="0.7"/>
    <n v="0.7"/>
    <n v="0.7"/>
    <n v="0.7"/>
    <n v="0.7"/>
    <n v="0.55000000000000004"/>
    <n v="0.55000000000000004"/>
    <n v="0.7"/>
  </r>
  <r>
    <x v="1"/>
    <x v="11"/>
    <n v="63206"/>
    <n v="47770"/>
    <n v="65000"/>
    <n v="695"/>
    <n v="278"/>
    <n v="973"/>
    <n v="900"/>
    <n v="1780"/>
    <n v="1255"/>
    <n v="0.12"/>
    <n v="0.33"/>
    <n v="0.15"/>
    <n v="0.4"/>
    <n v="0.7"/>
    <n v="0.7"/>
    <n v="0.7"/>
    <n v="0.7"/>
    <n v="0.7"/>
    <n v="0.7"/>
    <n v="0.7"/>
    <n v="0.55000000000000004"/>
    <n v="0.7"/>
  </r>
  <r>
    <x v="2"/>
    <x v="0"/>
    <n v="59019"/>
    <n v="67541"/>
    <n v="75000"/>
    <n v="538"/>
    <n v="510"/>
    <n v="1048"/>
    <n v="1400"/>
    <n v="2001"/>
    <n v="1142"/>
    <n v="0.15"/>
    <n v="0.33"/>
    <n v="0.16"/>
    <n v="0.36"/>
    <n v="0.7"/>
    <n v="0.7"/>
    <n v="0.7"/>
    <n v="0.7"/>
    <n v="0.7"/>
    <n v="0.7"/>
    <n v="0.7"/>
    <n v="0.7"/>
    <n v="0.8"/>
  </r>
  <r>
    <x v="2"/>
    <x v="1"/>
    <n v="81135"/>
    <n v="62626"/>
    <n v="75000"/>
    <n v="797"/>
    <n v="318"/>
    <n v="1115"/>
    <n v="1400"/>
    <n v="2073"/>
    <n v="1661"/>
    <n v="0.22"/>
    <n v="0.45"/>
    <n v="0.22333333333333336"/>
    <n v="0.10666666666666658"/>
    <n v="0.8"/>
    <n v="0.7"/>
    <n v="0.7"/>
    <n v="0.7"/>
    <n v="0.7"/>
    <n v="0.7"/>
    <n v="0.7"/>
    <n v="0.7"/>
    <n v="0.8"/>
  </r>
  <r>
    <x v="2"/>
    <x v="2"/>
    <n v="84342"/>
    <n v="68752"/>
    <n v="75000"/>
    <n v="565"/>
    <n v="540"/>
    <n v="1105"/>
    <n v="1400"/>
    <n v="2884"/>
    <n v="1900"/>
    <n v="0.17"/>
    <n v="0.38"/>
    <n v="0.18333333333333335"/>
    <n v="0.26666666666666661"/>
    <n v="0.8"/>
    <n v="0.8"/>
    <n v="0.7"/>
    <n v="0.7"/>
    <n v="0.7"/>
    <n v="0.7"/>
    <n v="0.7"/>
    <n v="0.7"/>
    <n v="0.8"/>
  </r>
  <r>
    <x v="2"/>
    <x v="3"/>
    <n v="73245"/>
    <n v="78653"/>
    <n v="75000"/>
    <n v="882"/>
    <n v="325"/>
    <n v="1207"/>
    <n v="1400"/>
    <n v="2908"/>
    <n v="1400"/>
    <n v="0.08"/>
    <n v="0.41"/>
    <n v="0.16333333333333333"/>
    <n v="0.34666666666666668"/>
    <n v="0.8"/>
    <n v="0.8"/>
    <n v="0.8"/>
    <n v="0.7"/>
    <n v="0.7"/>
    <n v="0.7"/>
    <n v="0.7"/>
    <n v="0.7"/>
    <n v="0.8"/>
  </r>
  <r>
    <x v="2"/>
    <x v="4"/>
    <n v="57139"/>
    <n v="73540"/>
    <n v="75000"/>
    <n v="597"/>
    <n v="611"/>
    <n v="1208"/>
    <n v="1400"/>
    <n v="3213"/>
    <n v="1618"/>
    <n v="0.06"/>
    <n v="0.23"/>
    <n v="9.6666666666666679E-2"/>
    <n v="0.61333333333333329"/>
    <n v="0.8"/>
    <n v="0.8"/>
    <n v="0.8"/>
    <n v="0.8"/>
    <n v="0.7"/>
    <n v="0.7"/>
    <n v="0.7"/>
    <n v="0.7"/>
    <n v="0.8"/>
  </r>
  <r>
    <x v="2"/>
    <x v="5"/>
    <n v="44835"/>
    <n v="61426"/>
    <n v="75000"/>
    <n v="645"/>
    <n v="616"/>
    <n v="1261"/>
    <n v="1400"/>
    <n v="2282"/>
    <n v="1941"/>
    <n v="0.09"/>
    <n v="0.23"/>
    <n v="0.10666666666666667"/>
    <n v="0.57333333333333325"/>
    <n v="0.8"/>
    <n v="0.8"/>
    <n v="0.8"/>
    <n v="0.8"/>
    <n v="0.8"/>
    <n v="0.7"/>
    <n v="0.7"/>
    <n v="0.7"/>
    <n v="0.8"/>
  </r>
  <r>
    <x v="2"/>
    <x v="6"/>
    <n v="52221"/>
    <n v="58031"/>
    <n v="75000"/>
    <n v="790"/>
    <n v="499"/>
    <n v="1289"/>
    <n v="1400"/>
    <n v="3441"/>
    <n v="1997"/>
    <n v="0.08"/>
    <n v="0.32"/>
    <n v="0.13333333333333333"/>
    <n v="0.46666666666666667"/>
    <n v="0.8"/>
    <n v="0.8"/>
    <n v="0.8"/>
    <n v="0.8"/>
    <n v="0.8"/>
    <n v="0.8"/>
    <n v="0.7"/>
    <n v="0.7"/>
    <n v="0.8"/>
  </r>
  <r>
    <x v="2"/>
    <x v="7"/>
    <n v="96718"/>
    <n v="65713"/>
    <n v="75000"/>
    <n v="996"/>
    <n v="431"/>
    <n v="1427"/>
    <n v="1400"/>
    <n v="4181"/>
    <n v="2226"/>
    <n v="0.09"/>
    <n v="0.24"/>
    <n v="0.10999999999999999"/>
    <n v="0.56000000000000005"/>
    <n v="0.8"/>
    <n v="0.8"/>
    <n v="0.8"/>
    <n v="0.8"/>
    <n v="0.8"/>
    <n v="0.8"/>
    <n v="0.8"/>
    <n v="0.7"/>
    <n v="0.8"/>
  </r>
  <r>
    <x v="2"/>
    <x v="8"/>
    <n v="111028"/>
    <n v="80943"/>
    <n v="75000"/>
    <n v="1183"/>
    <n v="210"/>
    <n v="1393"/>
    <n v="1400"/>
    <n v="1936"/>
    <n v="1532"/>
    <n v="0.19"/>
    <n v="0.4"/>
    <n v="0.19666666666666668"/>
    <n v="0.21333333333333326"/>
    <n v="0.9"/>
    <n v="0.8"/>
    <n v="0.8"/>
    <n v="0.8"/>
    <n v="0.8"/>
    <n v="0.8"/>
    <n v="0.8"/>
    <n v="0.8"/>
    <n v="0.8"/>
  </r>
  <r>
    <x v="2"/>
    <x v="9"/>
    <n v="105644"/>
    <n v="89819"/>
    <n v="75000"/>
    <n v="876"/>
    <n v="516"/>
    <n v="1392"/>
    <n v="1400"/>
    <n v="4148"/>
    <n v="2352"/>
    <n v="0.16"/>
    <n v="0.5"/>
    <n v="0.22"/>
    <n v="0.12"/>
    <n v="0.9"/>
    <n v="0.9"/>
    <n v="0.8"/>
    <n v="0.8"/>
    <n v="0.8"/>
    <n v="0.8"/>
    <n v="0.8"/>
    <n v="0.8"/>
    <n v="0.8"/>
  </r>
  <r>
    <x v="2"/>
    <x v="10"/>
    <n v="77026"/>
    <n v="85029"/>
    <n v="75000"/>
    <n v="1101"/>
    <n v="406"/>
    <n v="1507"/>
    <n v="1400"/>
    <n v="2848"/>
    <n v="2049"/>
    <n v="0.24"/>
    <n v="0.33"/>
    <n v="0.19000000000000003"/>
    <n v="0.23999999999999988"/>
    <n v="0.9"/>
    <n v="0.9"/>
    <n v="0.9"/>
    <n v="0.8"/>
    <n v="0.8"/>
    <n v="0.8"/>
    <n v="0.8"/>
    <n v="0.8"/>
    <n v="0.8"/>
  </r>
  <r>
    <x v="2"/>
    <x v="11"/>
    <n v="90717"/>
    <n v="74016"/>
    <n v="75000"/>
    <n v="1269"/>
    <n v="197"/>
    <n v="1466"/>
    <n v="1400"/>
    <n v="3019"/>
    <n v="1524"/>
    <n v="0.06"/>
    <n v="0.3"/>
    <n v="0.12"/>
    <n v="0.52"/>
    <n v="0.9"/>
    <n v="0.9"/>
    <n v="0.9"/>
    <n v="0.9"/>
    <n v="0.8"/>
    <n v="0.8"/>
    <n v="0.8"/>
    <n v="0.8"/>
    <n v="0.8"/>
  </r>
  <r>
    <x v="3"/>
    <x v="0"/>
    <n v="112023"/>
    <n v="100740"/>
    <n v="100000"/>
    <n v="1090"/>
    <n v="474"/>
    <n v="1564"/>
    <n v="1800"/>
    <n v="3018"/>
    <n v="2658"/>
    <n v="0.13"/>
    <n v="0.31"/>
    <n v="0.14666666666666667"/>
    <n v="0.41333333333333333"/>
    <n v="0.9"/>
    <n v="0.9"/>
    <n v="0.9"/>
    <n v="0.9"/>
    <n v="0.9"/>
    <n v="0.8"/>
    <n v="0.8"/>
    <n v="0.8"/>
    <n v="1"/>
  </r>
  <r>
    <x v="3"/>
    <x v="1"/>
    <n v="89374"/>
    <n v="94530"/>
    <n v="100000"/>
    <n v="956"/>
    <n v="561"/>
    <n v="1517"/>
    <n v="1800"/>
    <n v="3261"/>
    <n v="2336"/>
    <n v="0.21"/>
    <n v="0.44"/>
    <n v="0.21666666666666667"/>
    <n v="0.1333333333333333"/>
    <n v="0.9"/>
    <n v="0.9"/>
    <n v="0.9"/>
    <n v="0.9"/>
    <n v="0.9"/>
    <n v="0.9"/>
    <n v="0.8"/>
    <n v="0.8"/>
    <n v="1"/>
  </r>
  <r>
    <x v="3"/>
    <x v="2"/>
    <n v="73824"/>
    <n v="102810"/>
    <n v="100000"/>
    <n v="969"/>
    <n v="614"/>
    <n v="1583"/>
    <n v="1800"/>
    <n v="3039"/>
    <n v="2437"/>
    <n v="0.18"/>
    <n v="0.27"/>
    <n v="0.15"/>
    <n v="0.4"/>
    <n v="0.9"/>
    <n v="0.9"/>
    <n v="0.9"/>
    <n v="0.9"/>
    <n v="0.9"/>
    <n v="0.9"/>
    <n v="0.9"/>
    <n v="0.8"/>
    <n v="1"/>
  </r>
  <r>
    <x v="3"/>
    <x v="3"/>
    <n v="70497"/>
    <n v="113850"/>
    <n v="100000"/>
    <n v="1430"/>
    <n v="254"/>
    <n v="1684"/>
    <n v="1800"/>
    <n v="2997"/>
    <n v="2576"/>
    <n v="7.0000000000000007E-2"/>
    <n v="0.47"/>
    <n v="0.18000000000000002"/>
    <n v="0.27999999999999992"/>
    <n v="0.9"/>
    <n v="0.9"/>
    <n v="0.9"/>
    <n v="0.9"/>
    <n v="0.9"/>
    <n v="0.9"/>
    <n v="0.9"/>
    <n v="0.9"/>
    <n v="1"/>
  </r>
  <r>
    <x v="3"/>
    <x v="4"/>
    <n v="80257"/>
    <n v="106260"/>
    <n v="100000"/>
    <n v="834"/>
    <n v="913"/>
    <n v="1747"/>
    <n v="1800"/>
    <n v="4332"/>
    <n v="2882"/>
    <n v="0.12"/>
    <n v="0.44"/>
    <n v="0.18666666666666668"/>
    <n v="0.2533333333333333"/>
    <n v="1"/>
    <n v="0.9"/>
    <n v="0.9"/>
    <n v="0.9"/>
    <n v="0.9"/>
    <n v="0.9"/>
    <n v="0.9"/>
    <n v="0.9"/>
    <n v="1"/>
  </r>
  <r>
    <x v="3"/>
    <x v="5"/>
    <n v="100146"/>
    <n v="89700"/>
    <n v="100000"/>
    <n v="961"/>
    <n v="803"/>
    <n v="1764"/>
    <n v="1800"/>
    <n v="3139"/>
    <n v="2504"/>
    <n v="0.25"/>
    <n v="0.38"/>
    <n v="0.21"/>
    <n v="0.16000000000000003"/>
    <n v="1"/>
    <n v="1"/>
    <n v="0.9"/>
    <n v="0.9"/>
    <n v="0.9"/>
    <n v="0.9"/>
    <n v="0.9"/>
    <n v="0.9"/>
    <n v="1"/>
  </r>
  <r>
    <x v="3"/>
    <x v="6"/>
    <n v="123979"/>
    <n v="88320"/>
    <n v="100000"/>
    <n v="1644"/>
    <n v="149"/>
    <n v="1793"/>
    <n v="1800"/>
    <n v="2797"/>
    <n v="1972"/>
    <n v="0.18"/>
    <n v="0.48"/>
    <n v="0.21999999999999997"/>
    <n v="0.12000000000000011"/>
    <n v="1"/>
    <n v="1"/>
    <n v="1"/>
    <n v="0.9"/>
    <n v="0.9"/>
    <n v="0.9"/>
    <n v="0.9"/>
    <n v="0.9"/>
    <n v="1"/>
  </r>
  <r>
    <x v="3"/>
    <x v="7"/>
    <n v="143879"/>
    <n v="99360"/>
    <n v="100000"/>
    <n v="1637"/>
    <n v="149"/>
    <n v="1786"/>
    <n v="1800"/>
    <n v="4036"/>
    <n v="2089"/>
    <n v="0.18"/>
    <n v="0.43"/>
    <n v="0.20333333333333334"/>
    <n v="0.18666666666666665"/>
    <n v="1"/>
    <n v="1"/>
    <n v="1"/>
    <n v="1"/>
    <n v="0.9"/>
    <n v="0.9"/>
    <n v="0.9"/>
    <n v="0.9"/>
    <n v="1"/>
  </r>
  <r>
    <x v="3"/>
    <x v="8"/>
    <n v="153629"/>
    <n v="120060"/>
    <n v="100000"/>
    <n v="1482"/>
    <n v="338"/>
    <n v="1820"/>
    <n v="1800"/>
    <n v="4604"/>
    <n v="2129"/>
    <n v="0.23"/>
    <n v="0.43"/>
    <n v="0.22"/>
    <n v="0.12"/>
    <n v="1"/>
    <n v="1"/>
    <n v="1"/>
    <n v="1"/>
    <n v="1"/>
    <n v="0.9"/>
    <n v="0.9"/>
    <n v="0.9"/>
    <n v="1"/>
  </r>
  <r>
    <x v="3"/>
    <x v="9"/>
    <n v="150252"/>
    <n v="128340"/>
    <n v="100000"/>
    <n v="1701"/>
    <n v="189"/>
    <n v="1890"/>
    <n v="1800"/>
    <n v="3780"/>
    <n v="2740"/>
    <n v="0.18"/>
    <n v="0.2"/>
    <n v="0.12666666666666668"/>
    <n v="0.49333333333333329"/>
    <n v="1"/>
    <n v="1"/>
    <n v="1"/>
    <n v="1"/>
    <n v="1"/>
    <n v="1"/>
    <n v="0.9"/>
    <n v="0.9"/>
    <n v="1"/>
  </r>
  <r>
    <x v="3"/>
    <x v="10"/>
    <n v="134779"/>
    <n v="122820"/>
    <n v="100000"/>
    <n v="1156"/>
    <n v="785"/>
    <n v="1941"/>
    <n v="1800"/>
    <n v="5415"/>
    <n v="1979"/>
    <n v="0.12"/>
    <n v="0.33"/>
    <n v="0.15"/>
    <n v="0.4"/>
    <n v="1"/>
    <n v="1"/>
    <n v="1"/>
    <n v="1"/>
    <n v="1"/>
    <n v="1"/>
    <n v="1"/>
    <n v="0.9"/>
    <n v="1"/>
  </r>
  <r>
    <x v="3"/>
    <x v="11"/>
    <n v="112126"/>
    <n v="110400"/>
    <n v="100000"/>
    <n v="1798"/>
    <n v="202"/>
    <n v="2000"/>
    <n v="1800"/>
    <n v="3940"/>
    <n v="2640"/>
    <n v="0.12"/>
    <n v="0.23"/>
    <n v="0.11666666666666665"/>
    <n v="0.53333333333333344"/>
    <n v="1"/>
    <n v="1"/>
    <n v="1"/>
    <n v="1"/>
    <n v="1"/>
    <n v="1"/>
    <n v="1"/>
    <n v="1"/>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r>
  <r>
    <x v="1"/>
  </r>
  <r>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r>
  <r>
    <x v="1"/>
  </r>
  <r>
    <x v="2"/>
  </r>
  <r>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705FCE-F887-43B2-8964-766DC78D9EB7}" name="PivotTable2" cacheId="5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M33" firstHeaderRow="0" firstDataRow="1" firstDataCol="1"/>
  <pivotFields count="25">
    <pivotField showAll="0">
      <items count="5">
        <item h="1" x="0"/>
        <item h="1" x="1"/>
        <item x="2"/>
        <item h="1" x="3"/>
        <item t="default"/>
      </items>
    </pivotField>
    <pivotField axis="axisRow" showAll="0">
      <items count="13">
        <item x="0"/>
        <item x="1"/>
        <item x="2"/>
        <item x="3"/>
        <item x="4"/>
        <item x="5"/>
        <item x="6"/>
        <item x="7"/>
        <item x="8"/>
        <item x="9"/>
        <item x="10"/>
        <item x="11"/>
        <item t="default"/>
      </items>
    </pivotField>
    <pivotField dataField="1" showAll="0"/>
    <pivotField dataField="1" showAll="0"/>
    <pivotField dataField="1" showAll="0"/>
    <pivotField dataField="1" showAll="0"/>
    <pivotField dataField="1" showAll="0"/>
    <pivotField dataField="1" showAll="0"/>
    <pivotField dataField="1" showAll="0"/>
    <pivotField showAll="0"/>
    <pivotField showAll="0"/>
    <pivotField dataField="1" numFmtId="9" showAll="0"/>
    <pivotField dataField="1" numFmtId="9" showAll="0"/>
    <pivotField dataField="1" numFmtId="9" showAll="0"/>
    <pivotField dataField="1"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ataField="1" dragToRow="0" dragToCol="0" dragToPage="0" showAll="0" defaultSubtotal="0"/>
  </pivotFields>
  <rowFields count="1">
    <field x="1"/>
  </rowFields>
  <rowItems count="13">
    <i>
      <x/>
    </i>
    <i>
      <x v="1"/>
    </i>
    <i>
      <x v="2"/>
    </i>
    <i>
      <x v="3"/>
    </i>
    <i>
      <x v="4"/>
    </i>
    <i>
      <x v="5"/>
    </i>
    <i>
      <x v="6"/>
    </i>
    <i>
      <x v="7"/>
    </i>
    <i>
      <x v="8"/>
    </i>
    <i>
      <x v="9"/>
    </i>
    <i>
      <x v="10"/>
    </i>
    <i>
      <x v="11"/>
    </i>
    <i t="grand">
      <x/>
    </i>
  </rowItems>
  <colFields count="1">
    <field x="-2"/>
  </colFields>
  <colItems count="12">
    <i>
      <x/>
    </i>
    <i i="1">
      <x v="1"/>
    </i>
    <i i="2">
      <x v="2"/>
    </i>
    <i i="3">
      <x v="3"/>
    </i>
    <i i="4">
      <x v="4"/>
    </i>
    <i i="5">
      <x v="5"/>
    </i>
    <i i="6">
      <x v="6"/>
    </i>
    <i i="7">
      <x v="7"/>
    </i>
    <i i="8">
      <x v="8"/>
    </i>
    <i i="9">
      <x v="9"/>
    </i>
    <i i="10">
      <x v="10"/>
    </i>
    <i i="11">
      <x v="11"/>
    </i>
  </colItems>
  <dataFields count="12">
    <dataField name="Sum of Revenue" fld="2" baseField="0" baseItem="0"/>
    <dataField name="Sum of Expenses" fld="3" baseField="0" baseItem="0"/>
    <dataField name="Sum of Profit" fld="24" baseField="0" baseItem="0"/>
    <dataField name="Sum of Sales Target" fld="4" baseField="0" baseItem="0"/>
    <dataField name="Sum of Standart" fld="5" baseField="0" baseItem="0"/>
    <dataField name="Sum of Premium" fld="6" baseField="0" baseItem="0"/>
    <dataField name="Sum of Subscribers" fld="7" baseField="0" baseItem="0"/>
    <dataField name="Sum of Subscribers Target" fld="8" baseField="0" baseItem="0"/>
    <dataField name="Sum of Referral" fld="11" baseField="0" baseItem="0" numFmtId="9"/>
    <dataField name="Sum of Social" fld="12" baseField="0" baseItem="0" numFmtId="9"/>
    <dataField name="Sum of Organic" fld="13" baseField="0" baseItem="0" numFmtId="9"/>
    <dataField name="Sum of Other" fld="14"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6F5B1A-0C07-4086-88E4-D38C5C91C063}" name="PivotTable5" cacheId="5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A54" firstHeaderRow="1" firstDataRow="1" firstDataCol="1"/>
  <pivotFields count="1">
    <pivotField axis="axisRow" showAll="0">
      <items count="4">
        <item x="1"/>
        <item x="2"/>
        <item x="0"/>
        <item t="default"/>
      </items>
    </pivotField>
  </pivotFields>
  <rowFields count="1">
    <field x="0"/>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A0B319-21B7-4D4D-8445-0B7DADBD2441}" name="PivotTable3" cacheId="5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37" firstHeaderRow="1" firstDataRow="1" firstDataCol="1"/>
  <pivotFields count="25">
    <pivotField axis="axisRow" showAll="0">
      <items count="5">
        <item h="1" x="0"/>
        <item h="1" x="1"/>
        <item x="2"/>
        <item h="1" x="3"/>
        <item t="default"/>
      </items>
    </pivotField>
    <pivotField showAll="0">
      <items count="13">
        <item h="1" x="0"/>
        <item x="1"/>
        <item h="1" x="2"/>
        <item x="3"/>
        <item h="1" x="4"/>
        <item h="1" x="5"/>
        <item x="6"/>
        <item h="1" x="7"/>
        <item h="1" x="8"/>
        <item h="1" x="9"/>
        <item h="1" x="10"/>
        <item h="1" x="11"/>
        <item t="default"/>
      </items>
    </pivotField>
    <pivotField showAll="0"/>
    <pivotField showAll="0"/>
    <pivotField showAll="0"/>
    <pivotField showAll="0"/>
    <pivotField showAll="0"/>
    <pivotField dataField="1" showAll="0"/>
    <pivotField showAll="0"/>
    <pivotField showAll="0"/>
    <pivotField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ragToRow="0" dragToCol="0" dragToPage="0" showAll="0" defaultSubtotal="0"/>
  </pivotFields>
  <rowFields count="1">
    <field x="0"/>
  </rowFields>
  <rowItems count="2">
    <i>
      <x v="2"/>
    </i>
    <i t="grand">
      <x/>
    </i>
  </rowItems>
  <colItems count="1">
    <i/>
  </colItems>
  <dataFields count="1">
    <dataField name="Sum of Subscriber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431188-7989-456B-8467-4BFBC9B7792E}" name="PivotTable1" cacheId="5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A64" firstHeaderRow="1" firstDataRow="1" firstDataCol="1"/>
  <pivotFields count="1">
    <pivotField axis="axisRow" showAll="0">
      <items count="5">
        <item h="1" x="2"/>
        <item h="1" x="3"/>
        <item h="1" x="0"/>
        <item x="1"/>
        <item t="default"/>
      </items>
    </pivotField>
  </pivotFields>
  <rowFields count="1">
    <field x="0"/>
  </rowFields>
  <rowItems count="2">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484B11-AF98-426A-A263-0F227152BC1F}" name="PivotTable4" cacheId="5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B47" firstHeaderRow="1" firstDataRow="1" firstDataCol="1"/>
  <pivotFields count="25">
    <pivotField axis="axisRow" showAll="0">
      <items count="5">
        <item x="0"/>
        <item x="1"/>
        <item x="2"/>
        <item x="3"/>
        <item t="default"/>
      </items>
    </pivotField>
    <pivotField showAll="0"/>
    <pivotField showAll="0"/>
    <pivotField showAll="0"/>
    <pivotField showAll="0"/>
    <pivotField showAll="0"/>
    <pivotField showAll="0"/>
    <pivotField dataField="1" showAll="0"/>
    <pivotField showAll="0"/>
    <pivotField showAll="0"/>
    <pivotField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ragToRow="0" dragToCol="0" dragToPage="0" showAll="0" defaultSubtotal="0"/>
  </pivotFields>
  <rowFields count="1">
    <field x="0"/>
  </rowFields>
  <rowItems count="5">
    <i>
      <x/>
    </i>
    <i>
      <x v="1"/>
    </i>
    <i>
      <x v="2"/>
    </i>
    <i>
      <x v="3"/>
    </i>
    <i t="grand">
      <x/>
    </i>
  </rowItems>
  <colItems count="1">
    <i/>
  </colItems>
  <dataFields count="1">
    <dataField name="Sum of Subscriber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4134C6-4004-4489-BACF-961F44F8BF9D}" name="mydata" cacheId="5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X7" firstHeaderRow="0" firstDataRow="1" firstDataCol="1"/>
  <pivotFields count="25">
    <pivotField showAll="0">
      <items count="5">
        <item h="1" x="0"/>
        <item h="1" x="1"/>
        <item x="2"/>
        <item h="1" x="3"/>
        <item t="default"/>
      </items>
    </pivotField>
    <pivotField axis="axisRow" showAll="0">
      <items count="13">
        <item h="1" x="0"/>
        <item x="1"/>
        <item h="1" x="2"/>
        <item x="3"/>
        <item h="1" x="4"/>
        <item h="1" x="5"/>
        <item x="6"/>
        <item h="1" x="7"/>
        <item h="1" x="8"/>
        <item h="1" x="9"/>
        <item h="1" x="10"/>
        <item h="1" x="1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dragToRow="0" dragToCol="0" dragToPage="0" showAll="0" defaultSubtotal="0"/>
  </pivotFields>
  <rowFields count="1">
    <field x="1"/>
  </rowFields>
  <rowItems count="4">
    <i>
      <x v="1"/>
    </i>
    <i>
      <x v="3"/>
    </i>
    <i>
      <x v="6"/>
    </i>
    <i t="grand">
      <x/>
    </i>
  </rowItems>
  <colFields count="1">
    <field x="-2"/>
  </colFields>
  <colItems count="23">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colItems>
  <dataFields count="23">
    <dataField name="Sum of Revenue" fld="2" baseField="0" baseItem="0"/>
    <dataField name="Sum of Expenses" fld="3" baseField="0" baseItem="0"/>
    <dataField name="Sum of Profit" fld="24" baseField="0" baseItem="0"/>
    <dataField name="Sum of Subscribers" fld="7" baseField="0" baseItem="0"/>
    <dataField name="Sum of Leads" fld="9" baseField="0" baseItem="0"/>
    <dataField name="Sum of Deals" fld="10" baseField="0" baseItem="0"/>
    <dataField name="Average of Referral" fld="11" subtotal="average" baseField="1" baseItem="0" numFmtId="9"/>
    <dataField name="Average of Social" fld="12" subtotal="average" baseField="1" baseItem="0" numFmtId="9"/>
    <dataField name="Average of Organic" fld="13" subtotal="average" baseField="1" baseItem="0" numFmtId="9"/>
    <dataField name="Average of Other" fld="14" subtotal="average" baseField="1" baseItem="0" numFmtId="9"/>
    <dataField name="Average of N" fld="15" subtotal="average" baseField="1" baseItem="0" numFmtId="9"/>
    <dataField name="Average of NE" fld="16" subtotal="average" baseField="1" baseItem="0" numFmtId="9"/>
    <dataField name="Average of E" fld="17" subtotal="average" baseField="1" baseItem="0" numFmtId="9"/>
    <dataField name="Average of SE" fld="18" subtotal="average" baseField="1" baseItem="0" numFmtId="9"/>
    <dataField name="Average of S" fld="19" subtotal="average" baseField="1" baseItem="0" numFmtId="9"/>
    <dataField name="Average of SW" fld="20" subtotal="average" baseField="1" baseItem="0" numFmtId="9"/>
    <dataField name="Average of W" fld="21" subtotal="average" baseField="1" baseItem="0" numFmtId="9"/>
    <dataField name="Average of NW" fld="22" subtotal="average" baseField="1" baseItem="0" numFmtId="9"/>
    <dataField name="Sum of Sales Target" fld="4" baseField="1" baseItem="0"/>
    <dataField name="Sum of Subscribers Target" fld="8" baseField="0" baseItem="0"/>
    <dataField name="Sum of Standart" fld="5" baseField="0" baseItem="0"/>
    <dataField name="Sum of Premium" fld="6" baseField="0" baseItem="0"/>
    <dataField name="Max of Coverage Target" fld="23" subtotal="max" baseField="1"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6EA442-FBBE-44A1-A0DF-57D554F174C4}" name="PivotTable6" cacheId="5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A60" firstHeaderRow="1" firstDataRow="1" firstDataCol="1"/>
  <pivotFields count="1">
    <pivotField axis="axisRow" showAll="0">
      <items count="4">
        <item h="1" m="1" x="2"/>
        <item x="0"/>
        <item x="1"/>
        <item t="default"/>
      </items>
    </pivotField>
  </pivotFields>
  <rowFields count="1">
    <field x="0"/>
  </rowFields>
  <rowItems count="3">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icators" xr10:uid="{444D6CDE-3036-41CB-B09F-2FE23CD47761}" sourceName="Indicators">
  <pivotTables>
    <pivotTable tabId="3" name="PivotTable5"/>
  </pivotTables>
  <data>
    <tabular pivotCacheId="97031727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18BE1F2-FBD2-4CC9-9083-CB8984E34319}" sourceName="Year">
  <pivotTables>
    <pivotTable tabId="3" name="mydata"/>
    <pivotTable tabId="3" name="PivotTable2"/>
    <pivotTable tabId="3" name="PivotTable3"/>
  </pivotTables>
  <data>
    <tabular pivotCacheId="1740174785">
      <items count="4">
        <i x="0"/>
        <i x="1"/>
        <i x="2"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C737F2C-7F3B-484C-B7F1-AB0BD686DC0D}" sourceName="Month">
  <pivotTables>
    <pivotTable tabId="3" name="mydata"/>
    <pivotTable tabId="3" name="PivotTable3"/>
  </pivotTables>
  <data>
    <tabular pivotCacheId="1740174785">
      <items count="12">
        <i x="0"/>
        <i x="1" s="1"/>
        <i x="2"/>
        <i x="3" s="1"/>
        <i x="4"/>
        <i x="5"/>
        <i x="6" s="1"/>
        <i x="7"/>
        <i x="8"/>
        <i x="9"/>
        <i x="10"/>
        <i x="1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ffic" xr10:uid="{E8564E75-B41F-40EA-8FC1-8EEB1AC56ACF}" sourceName="Traffic">
  <pivotTables>
    <pivotTable tabId="3" name="PivotTable1"/>
  </pivotTables>
  <data>
    <tabular pivotCacheId="622540056">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s" xr10:uid="{B1C50FCB-3D2D-49CB-B723-2FDA7F47CFA0}" cache="Slicer_Indicators" caption="Indicators" columnCount="3" showCaption="0" style="SlicerStyleLight1 2" rowHeight="247650"/>
  <slicer name="Year" xr10:uid="{FC0104C4-EB63-4605-86B9-A917002BB652}" cache="Slicer_Year" caption="Year" columnCount="4" showCaption="0" style="SlicerStyleLight1 3" rowHeight="247650"/>
  <slicer name="Month" xr10:uid="{714D2FAE-DA1D-4AB4-BDC8-0A7E4A25FE17}" cache="Slicer_Month" caption="Month" columnCount="12" showCaption="0" style="SlicerStyleLight1 3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s 1" xr10:uid="{EA09892A-BA6C-4970-ABDB-100E244E4DFF}" cache="Slicer_Indicators" caption="Indicators" columnCount="3" showCaption="0" style="SlicerStyleLight1 2" rowHeight="247650"/>
  <slicer name="Year 1" xr10:uid="{4AF049D6-7E39-4A8A-8B6C-8DEFB253DC17}" cache="Slicer_Year" caption="Year" columnCount="4" showCaption="0" style="SlicerStyleLight1 3" rowHeight="247650"/>
  <slicer name="Month 1" xr10:uid="{14647256-711A-40A8-ABFD-86BEC6D391B4}" cache="Slicer_Month" caption="Month" columnCount="12" showCaption="0" style="SlicerStyleLight1 3 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BC142A9A-232F-4274-9395-64332DB78416}" cache="Slicer_Year" caption="Year" columnCount="4" showCaption="0" style="SlicerStyleLight1 3" rowHeight="247650"/>
  <slicer name="Month 3" xr10:uid="{86C75F60-982E-4206-842A-0A6A9B4C18FF}" cache="Slicer_Month" caption="Month" columnCount="12" showCaption="0" style="SlicerStyleLight1 3 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B7D05854-5332-43F4-84C5-AED8367D4F0C}" cache="Slicer_Year" caption="Year" columnCount="4" showCaption="0" style="SlicerStyleLight1 3" rowHeight="247650"/>
  <slicer name="Month 4" xr10:uid="{54E10D9B-F1C9-4D93-A84E-4AC370CDBEB2}" cache="Slicer_Month" caption="Month" columnCount="12" showCaption="0" style="SlicerStyleLight1 3 2" rowHeight="247650"/>
  <slicer name="Traffic" xr10:uid="{EE8CDAC4-5503-472E-8F7F-E200C9FB30AD}" cache="Slicer_Traffic" caption="Traffic" columnCount="4" showCaption="0" style="SlicerStyleLight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FD91B4-47E9-45C4-8736-6062DC70DD5B}" name="mydata" displayName="mydata" ref="A1:X49" totalsRowShown="0" headerRowDxfId="23" dataDxfId="22" dataCellStyle="Percent">
  <autoFilter ref="A1:X49" xr:uid="{C6FD91B4-47E9-45C4-8736-6062DC70DD5B}"/>
  <tableColumns count="24">
    <tableColumn id="1" xr3:uid="{7FBAF8CC-3F5A-430A-8314-9546754C8839}" name="Year" dataDxfId="21"/>
    <tableColumn id="2" xr3:uid="{42A5CD8B-2766-4CAC-8A55-5B6324216F08}" name="Month" dataDxfId="20"/>
    <tableColumn id="3" xr3:uid="{2B676AE3-153F-43F2-A858-AD1BFFD9282B}" name="Revenue"/>
    <tableColumn id="4" xr3:uid="{A8DC33E9-1BBA-4A4C-9314-3EFC34D22F6E}" name="Expenses"/>
    <tableColumn id="5" xr3:uid="{62731363-C6C5-47BF-9C47-A80905F6C543}" name="Sales Target" dataDxfId="19"/>
    <tableColumn id="24" xr3:uid="{EE329273-BBA9-476F-9419-FC39F8A9FCE5}" name="Standart" dataDxfId="18"/>
    <tableColumn id="23" xr3:uid="{8341FA3B-A432-49EB-99B3-BBD10BFEC552}" name="Premium" dataDxfId="17"/>
    <tableColumn id="6" xr3:uid="{DD2CF343-FEAF-451D-A16E-5968D8803E35}" name="Subscribers" dataDxfId="16"/>
    <tableColumn id="7" xr3:uid="{867AE5C9-D2F0-4C0B-AE2F-DFFB94F4710F}" name="Subscribers Target" dataDxfId="15"/>
    <tableColumn id="8" xr3:uid="{D1CC7A1F-944C-497D-9F45-DB9D56150E6E}" name="Leads" dataDxfId="14"/>
    <tableColumn id="9" xr3:uid="{FA937131-4DF2-4872-A334-A3B13D6884F4}" name="Deals" dataDxfId="13"/>
    <tableColumn id="10" xr3:uid="{D650F291-0D8C-4071-A255-586A4A464741}" name="Referral" dataDxfId="12" dataCellStyle="Percent"/>
    <tableColumn id="11" xr3:uid="{73DADA98-382A-4685-9A0A-B4FDBAE55D2B}" name="Social" dataDxfId="11" dataCellStyle="Percent"/>
    <tableColumn id="12" xr3:uid="{DDDCE17C-3534-47F0-997E-A797C9F1E1C0}" name="Organic" dataDxfId="10"/>
    <tableColumn id="13" xr3:uid="{04D356C4-5F61-4A85-B0A1-7741EADF5C4B}" name="Other" dataDxfId="9"/>
    <tableColumn id="14" xr3:uid="{EB870400-034B-4C20-A2EB-75876ED77D8A}" name="N" dataDxfId="8" dataCellStyle="Percent"/>
    <tableColumn id="15" xr3:uid="{2639E8D4-A8B3-4CDE-ABC5-F82C8F9311DE}" name="NE" dataDxfId="7" dataCellStyle="Percent"/>
    <tableColumn id="16" xr3:uid="{9757172D-72DE-4BA9-9FC5-CA9A7E45E21E}" name="E" dataDxfId="6" dataCellStyle="Percent"/>
    <tableColumn id="17" xr3:uid="{FE0DF458-B9D0-49CA-8026-828B00D28935}" name="SE" dataDxfId="5" dataCellStyle="Percent"/>
    <tableColumn id="18" xr3:uid="{CA0031BE-F3AF-421C-A30D-4CBC3A3024ED}" name="S" dataDxfId="4" dataCellStyle="Percent"/>
    <tableColumn id="19" xr3:uid="{EF44E241-CE22-4C5C-903D-15F7A2D2C6CB}" name="SW" dataDxfId="3" dataCellStyle="Percent"/>
    <tableColumn id="20" xr3:uid="{19A6CAD4-3D30-4545-9E7A-51FEED1D72DF}" name="W" dataDxfId="2" dataCellStyle="Percent"/>
    <tableColumn id="21" xr3:uid="{FFA0932C-869D-4195-9196-BE7C89B6D613}" name="NW" dataDxfId="1" dataCellStyle="Percent"/>
    <tableColumn id="22" xr3:uid="{649F81BF-AC9C-486F-8764-267AB019EF25}" name="Coverage Target"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887AD-6035-46F8-B5FD-B1C64907C18E}">
  <sheetPr codeName="Sheet1"/>
  <dimension ref="B47:G48"/>
  <sheetViews>
    <sheetView showRowColHeaders="0" tabSelected="1" zoomScaleNormal="100" workbookViewId="0"/>
  </sheetViews>
  <sheetFormatPr defaultRowHeight="15" x14ac:dyDescent="0.25"/>
  <sheetData>
    <row r="47" spans="2:7" x14ac:dyDescent="0.25">
      <c r="B47" s="23"/>
      <c r="C47" s="23"/>
      <c r="D47" s="23"/>
      <c r="E47" s="23"/>
      <c r="F47" s="23"/>
      <c r="G47" s="23"/>
    </row>
    <row r="48" spans="2:7" x14ac:dyDescent="0.25">
      <c r="B48" s="23"/>
      <c r="C48" s="23"/>
      <c r="D48" s="23"/>
      <c r="E48" s="23"/>
      <c r="F48" s="23"/>
      <c r="G48" s="23"/>
    </row>
  </sheetData>
  <mergeCells count="1">
    <mergeCell ref="B47:G48"/>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Check Box 1">
              <controlPr defaultSize="0" autoFill="0" autoLine="0" autoPict="0">
                <anchor moveWithCells="1">
                  <from>
                    <xdr:col>11</xdr:col>
                    <xdr:colOff>161925</xdr:colOff>
                    <xdr:row>22</xdr:row>
                    <xdr:rowOff>123825</xdr:rowOff>
                  </from>
                  <to>
                    <xdr:col>12</xdr:col>
                    <xdr:colOff>304800</xdr:colOff>
                    <xdr:row>24</xdr:row>
                    <xdr:rowOff>133350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AD9B7-6B07-4820-96B2-671E53EC0A56}">
  <sheetPr codeName="Sheet2"/>
  <dimension ref="B47:G48"/>
  <sheetViews>
    <sheetView showRowColHeaders="0" zoomScaleNormal="100" workbookViewId="0"/>
  </sheetViews>
  <sheetFormatPr defaultRowHeight="15" x14ac:dyDescent="0.25"/>
  <sheetData>
    <row r="47" spans="2:7" x14ac:dyDescent="0.25">
      <c r="B47" s="23"/>
      <c r="C47" s="23"/>
      <c r="D47" s="23"/>
      <c r="E47" s="23"/>
      <c r="F47" s="23"/>
      <c r="G47" s="23"/>
    </row>
    <row r="48" spans="2:7" x14ac:dyDescent="0.25">
      <c r="B48" s="23"/>
      <c r="C48" s="23"/>
      <c r="D48" s="23"/>
      <c r="E48" s="23"/>
      <c r="F48" s="23"/>
      <c r="G48" s="23"/>
    </row>
  </sheetData>
  <mergeCells count="1">
    <mergeCell ref="B47:G48"/>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Check Box 1">
              <controlPr defaultSize="0" autoFill="0" autoLine="0" autoPict="0">
                <anchor moveWithCells="1">
                  <from>
                    <xdr:col>11</xdr:col>
                    <xdr:colOff>161925</xdr:colOff>
                    <xdr:row>14</xdr:row>
                    <xdr:rowOff>171450</xdr:rowOff>
                  </from>
                  <to>
                    <xdr:col>12</xdr:col>
                    <xdr:colOff>304800</xdr:colOff>
                    <xdr:row>17</xdr:row>
                    <xdr:rowOff>9525</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B4DAF-8FF8-4DFB-8729-73F647FD6666}">
  <sheetPr codeName="Sheet4"/>
  <dimension ref="B47:G48"/>
  <sheetViews>
    <sheetView showRowColHeaders="0" zoomScaleNormal="100" workbookViewId="0"/>
  </sheetViews>
  <sheetFormatPr defaultRowHeight="15" x14ac:dyDescent="0.25"/>
  <sheetData>
    <row r="47" spans="2:7" x14ac:dyDescent="0.25">
      <c r="B47" s="23"/>
      <c r="C47" s="23"/>
      <c r="D47" s="23"/>
      <c r="E47" s="23"/>
      <c r="F47" s="23"/>
      <c r="G47" s="23"/>
    </row>
    <row r="48" spans="2:7" x14ac:dyDescent="0.25">
      <c r="B48" s="23"/>
      <c r="C48" s="23"/>
      <c r="D48" s="23"/>
      <c r="E48" s="23"/>
      <c r="F48" s="23"/>
      <c r="G48" s="23"/>
    </row>
  </sheetData>
  <mergeCells count="1">
    <mergeCell ref="B47:G48"/>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2289" r:id="rId3" name="Check Box 1">
              <controlPr defaultSize="0" autoFill="0" autoLine="0" autoPict="0">
                <anchor moveWithCells="1">
                  <from>
                    <xdr:col>11</xdr:col>
                    <xdr:colOff>161925</xdr:colOff>
                    <xdr:row>14</xdr:row>
                    <xdr:rowOff>171450</xdr:rowOff>
                  </from>
                  <to>
                    <xdr:col>12</xdr:col>
                    <xdr:colOff>304800</xdr:colOff>
                    <xdr:row>17</xdr:row>
                    <xdr:rowOff>9525</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2D66-C983-45C2-AF7E-3FF29E05E5C2}">
  <sheetPr codeName="Sheet5"/>
  <dimension ref="B47:G48"/>
  <sheetViews>
    <sheetView showRowColHeaders="0" zoomScaleNormal="100" workbookViewId="0"/>
  </sheetViews>
  <sheetFormatPr defaultRowHeight="15" x14ac:dyDescent="0.25"/>
  <sheetData>
    <row r="47" spans="2:7" x14ac:dyDescent="0.25">
      <c r="B47" s="23"/>
      <c r="C47" s="23"/>
      <c r="D47" s="23"/>
      <c r="E47" s="23"/>
      <c r="F47" s="23"/>
      <c r="G47" s="23"/>
    </row>
    <row r="48" spans="2:7" x14ac:dyDescent="0.25">
      <c r="B48" s="23"/>
      <c r="C48" s="23"/>
      <c r="D48" s="23"/>
      <c r="E48" s="23"/>
      <c r="F48" s="23"/>
      <c r="G48" s="23"/>
    </row>
  </sheetData>
  <mergeCells count="1">
    <mergeCell ref="B47:G4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A2DB1-CF4D-41EF-80FA-9275DF2E3E1D}">
  <sheetPr codeName="Sheet6"/>
  <dimension ref="A1:X30"/>
  <sheetViews>
    <sheetView topLeftCell="C1" workbookViewId="0">
      <selection activeCell="X4" sqref="X4"/>
    </sheetView>
  </sheetViews>
  <sheetFormatPr defaultRowHeight="15" x14ac:dyDescent="0.25"/>
  <cols>
    <col min="1" max="1" width="7.28515625" customWidth="1"/>
    <col min="2" max="3" width="9.7109375" bestFit="1" customWidth="1"/>
    <col min="4" max="4" width="9.7109375" customWidth="1"/>
    <col min="5" max="6" width="11.28515625" bestFit="1" customWidth="1"/>
    <col min="7" max="7" width="9.7109375" customWidth="1"/>
    <col min="8" max="8" width="12.28515625" customWidth="1"/>
    <col min="9" max="9" width="10.28515625" customWidth="1"/>
    <col min="13" max="13" width="14.28515625" bestFit="1" customWidth="1"/>
    <col min="15" max="16" width="8.85546875" style="3"/>
    <col min="17" max="17" width="11" style="3" bestFit="1" customWidth="1"/>
    <col min="18" max="18" width="8.85546875" style="3"/>
  </cols>
  <sheetData>
    <row r="1" spans="1:24" x14ac:dyDescent="0.25">
      <c r="B1" t="b">
        <f>ISNUMBER(MATCH(B2,Control!$A$51:$A$53,0))</f>
        <v>1</v>
      </c>
      <c r="C1" t="b">
        <f>ISNUMBER(MATCH(C2,Control!$A$51:$A$53,0))</f>
        <v>1</v>
      </c>
      <c r="D1" t="b">
        <f>ISNUMBER(MATCH(D2,Control!$A$51:$A$53,0))</f>
        <v>1</v>
      </c>
      <c r="H1" t="b">
        <v>1</v>
      </c>
      <c r="I1" s="5" t="s">
        <v>56</v>
      </c>
      <c r="J1" t="s">
        <v>5</v>
      </c>
      <c r="L1" s="2">
        <f>SUM(K2:K4)</f>
        <v>0.69333333333333336</v>
      </c>
      <c r="O1" s="7" t="s">
        <v>44</v>
      </c>
      <c r="P1" s="5" t="s">
        <v>79</v>
      </c>
      <c r="Q1" s="5" t="s">
        <v>43</v>
      </c>
      <c r="R1" s="5" t="s">
        <v>80</v>
      </c>
      <c r="S1" s="23"/>
      <c r="T1" s="23"/>
      <c r="U1" s="23"/>
      <c r="V1" s="23"/>
      <c r="W1" s="23"/>
      <c r="X1" s="23"/>
    </row>
    <row r="2" spans="1:24" x14ac:dyDescent="0.25">
      <c r="A2" s="5" t="s">
        <v>24</v>
      </c>
      <c r="B2" s="5" t="s">
        <v>37</v>
      </c>
      <c r="C2" s="5" t="s">
        <v>38</v>
      </c>
      <c r="D2" s="5" t="s">
        <v>39</v>
      </c>
      <c r="E2" s="5" t="s">
        <v>40</v>
      </c>
      <c r="F2" s="5" t="s">
        <v>41</v>
      </c>
      <c r="G2" s="5" t="s">
        <v>42</v>
      </c>
      <c r="H2" s="5" t="s">
        <v>45</v>
      </c>
      <c r="I2" s="3">
        <f>IF($H$1,10,0)</f>
        <v>10</v>
      </c>
      <c r="J2" t="s">
        <v>0</v>
      </c>
      <c r="K2" s="2">
        <f>GETPIVOTDATA(""&amp;J2,Control!$A$3)</f>
        <v>0.12666666666666668</v>
      </c>
      <c r="L2" s="3" t="s">
        <v>4</v>
      </c>
      <c r="O2" s="3">
        <v>2025</v>
      </c>
      <c r="P2" s="3">
        <f>$P$6</f>
        <v>843.56000000000006</v>
      </c>
      <c r="Q2" s="19">
        <f>GETPIVOTDATA(""&amp;Q$1,Control!$A$42,"Year",O2)</f>
        <v>3873</v>
      </c>
      <c r="R2" s="20" t="e">
        <f>IF(ISNUMBER(MATCH(O2,Control!$A$36:$A$39,0)),Q2,NA())</f>
        <v>#N/A</v>
      </c>
      <c r="S2" s="23"/>
      <c r="T2" s="23"/>
      <c r="U2" s="23"/>
      <c r="V2" s="23"/>
      <c r="W2" s="23"/>
      <c r="X2" s="23"/>
    </row>
    <row r="3" spans="1:24" x14ac:dyDescent="0.25">
      <c r="A3" s="3" t="s">
        <v>25</v>
      </c>
      <c r="B3" s="6">
        <f>IF(B$1,GETPIVOTDATA(""&amp;B$2,Control!$A$20,"Month",""&amp;$A3),NA())</f>
        <v>59019</v>
      </c>
      <c r="C3" s="6">
        <f>IF(C$1,GETPIVOTDATA(""&amp;C$2,Control!$A$20,"Month",""&amp;$A3),NA())</f>
        <v>67541</v>
      </c>
      <c r="D3" s="6">
        <f>IF(D$1,GETPIVOTDATA(""&amp;D$2,Control!$A$20,"Month",""&amp;$A3),NA())</f>
        <v>-8522</v>
      </c>
      <c r="E3" s="6" t="e">
        <f>IF(ISNUMBER(GETPIVOTDATA(""&amp;B$2,Control!$A$3,"Month",""&amp;$A3)),B3,NA())</f>
        <v>#N/A</v>
      </c>
      <c r="F3" s="6" t="e">
        <f>IF(ISNUMBER(GETPIVOTDATA(""&amp;C$2,Control!$A$3,"Month",""&amp;$A3)),C3,NA())</f>
        <v>#N/A</v>
      </c>
      <c r="G3" s="6" t="e">
        <f>IF(ISNUMBER(GETPIVOTDATA(""&amp;D$2,Control!$A$3,"Month",""&amp;$A3)),D3,NA())</f>
        <v>#N/A</v>
      </c>
      <c r="H3" s="6">
        <f>IF($H$1,GETPIVOTDATA("Sum of Sales Target",Control!$A$20,"Month",""&amp;A3),NA())</f>
        <v>75000</v>
      </c>
      <c r="I3" s="3">
        <f>IF($H$1,0,10)</f>
        <v>0</v>
      </c>
      <c r="J3" t="s">
        <v>1</v>
      </c>
      <c r="K3" s="2">
        <f>GETPIVOTDATA(""&amp;J3,Control!$A$3)</f>
        <v>0.39333333333333331</v>
      </c>
      <c r="L3" t="str">
        <f>J2&amp;CHAR(10)&amp;J3&amp;CHAR(10)&amp;J4&amp;CHAR(10)&amp;J5</f>
        <v>Referral
Social
Organic
Other</v>
      </c>
      <c r="O3" s="3">
        <v>2026</v>
      </c>
      <c r="P3" s="3">
        <f>$P$6</f>
        <v>843.56000000000006</v>
      </c>
      <c r="Q3" s="19">
        <f>GETPIVOTDATA(""&amp;Q$1,Control!$A$42,"Year",O3)</f>
        <v>9235</v>
      </c>
      <c r="R3" s="20" t="e">
        <f>IF(ISNUMBER(MATCH(O3,Control!$A$36:$A$39,0)),Q3,NA())</f>
        <v>#N/A</v>
      </c>
    </row>
    <row r="4" spans="1:24" x14ac:dyDescent="0.25">
      <c r="A4" s="3" t="s">
        <v>26</v>
      </c>
      <c r="B4" s="6">
        <f>IF(B$1,GETPIVOTDATA(""&amp;B$2,Control!$A$20,"Month",""&amp;$A4),NA())</f>
        <v>81135</v>
      </c>
      <c r="C4" s="6">
        <f>IF(C$1,GETPIVOTDATA(""&amp;C$2,Control!$A$20,"Month",""&amp;$A4),NA())</f>
        <v>62626</v>
      </c>
      <c r="D4" s="6">
        <f>IF(D$1,GETPIVOTDATA(""&amp;D$2,Control!$A$20,"Month",""&amp;$A4),NA())</f>
        <v>18509</v>
      </c>
      <c r="E4" s="6">
        <f>IF(ISNUMBER(GETPIVOTDATA(""&amp;B$2,Control!$A$3,"Month",""&amp;$A4)),B4,NA())</f>
        <v>81135</v>
      </c>
      <c r="F4" s="6">
        <f>IF(ISNUMBER(GETPIVOTDATA(""&amp;C$2,Control!$A$3,"Month",""&amp;$A4)),C4,NA())</f>
        <v>62626</v>
      </c>
      <c r="G4" s="6">
        <f>IF(ISNUMBER(GETPIVOTDATA(""&amp;D$2,Control!$A$3,"Month",""&amp;$A4)),D4,NA())</f>
        <v>18509</v>
      </c>
      <c r="H4" s="6">
        <f>IF($H$1,GETPIVOTDATA("Sum of Sales Target",Control!$A$20,"Month",""&amp;A4),NA())</f>
        <v>75000</v>
      </c>
      <c r="J4" t="s">
        <v>2</v>
      </c>
      <c r="K4" s="2">
        <f>GETPIVOTDATA(""&amp;J4,Control!$A$3)</f>
        <v>0.17333333333333334</v>
      </c>
      <c r="L4" t="str">
        <f>TEXT(K2,"0%")&amp;CHAR(10)&amp;TEXT(K3,"0%")&amp;CHAR(10)&amp;TEXT(K4,"0%")&amp;CHAR(10)&amp;TEXT(K5,"0%")</f>
        <v>13%
39%
17%
31%</v>
      </c>
      <c r="O4" s="3">
        <v>2027</v>
      </c>
      <c r="P4" s="3">
        <f>$P$6</f>
        <v>843.56000000000006</v>
      </c>
      <c r="Q4" s="19">
        <f>GETPIVOTDATA(""&amp;Q$1,Control!$A$42,"Year",O4)</f>
        <v>15418</v>
      </c>
      <c r="R4" s="20">
        <f>IF(ISNUMBER(MATCH(O4,Control!$A$36:$A$39,0)),Q4,NA())</f>
        <v>15418</v>
      </c>
    </row>
    <row r="5" spans="1:24" x14ac:dyDescent="0.25">
      <c r="A5" s="3" t="s">
        <v>27</v>
      </c>
      <c r="B5" s="6">
        <f>IF(B$1,GETPIVOTDATA(""&amp;B$2,Control!$A$20,"Month",""&amp;$A5),NA())</f>
        <v>84342</v>
      </c>
      <c r="C5" s="6">
        <f>IF(C$1,GETPIVOTDATA(""&amp;C$2,Control!$A$20,"Month",""&amp;$A5),NA())</f>
        <v>68752</v>
      </c>
      <c r="D5" s="6">
        <f>IF(D$1,GETPIVOTDATA(""&amp;D$2,Control!$A$20,"Month",""&amp;$A5),NA())</f>
        <v>15590</v>
      </c>
      <c r="E5" s="6" t="e">
        <f>IF(ISNUMBER(GETPIVOTDATA(""&amp;B$2,Control!$A$3,"Month",""&amp;$A5)),B5,NA())</f>
        <v>#N/A</v>
      </c>
      <c r="F5" s="6" t="e">
        <f>IF(ISNUMBER(GETPIVOTDATA(""&amp;C$2,Control!$A$3,"Month",""&amp;$A5)),C5,NA())</f>
        <v>#N/A</v>
      </c>
      <c r="G5" s="6" t="e">
        <f>IF(ISNUMBER(GETPIVOTDATA(""&amp;D$2,Control!$A$3,"Month",""&amp;$A5)),D5,NA())</f>
        <v>#N/A</v>
      </c>
      <c r="H5" s="6">
        <f>IF($H$1,GETPIVOTDATA("Sum of Sales Target",Control!$A$20,"Month",""&amp;A5),NA())</f>
        <v>75000</v>
      </c>
      <c r="I5" s="5" t="s">
        <v>57</v>
      </c>
      <c r="J5" t="s">
        <v>3</v>
      </c>
      <c r="K5" s="2">
        <f>GETPIVOTDATA(""&amp;J5,Control!$A$3)</f>
        <v>0.30666666666666664</v>
      </c>
      <c r="O5" s="3">
        <v>2028</v>
      </c>
      <c r="P5" s="3">
        <f>$P$6</f>
        <v>843.56000000000006</v>
      </c>
      <c r="Q5" s="19">
        <f>GETPIVOTDATA(""&amp;Q$1,Control!$A$42,"Year",O5)</f>
        <v>21089</v>
      </c>
      <c r="R5" s="20" t="e">
        <f>IF(ISNUMBER(MATCH(O5,Control!$A$36:$A$39,0)),Q5,NA())</f>
        <v>#N/A</v>
      </c>
    </row>
    <row r="6" spans="1:24" x14ac:dyDescent="0.25">
      <c r="A6" s="3" t="s">
        <v>28</v>
      </c>
      <c r="B6" s="6">
        <f>IF(B$1,GETPIVOTDATA(""&amp;B$2,Control!$A$20,"Month",""&amp;$A6),NA())</f>
        <v>73245</v>
      </c>
      <c r="C6" s="6">
        <f>IF(C$1,GETPIVOTDATA(""&amp;C$2,Control!$A$20,"Month",""&amp;$A6),NA())</f>
        <v>78653</v>
      </c>
      <c r="D6" s="6">
        <f>IF(D$1,GETPIVOTDATA(""&amp;D$2,Control!$A$20,"Month",""&amp;$A6),NA())</f>
        <v>-5408</v>
      </c>
      <c r="E6" s="6">
        <f>IF(ISNUMBER(GETPIVOTDATA(""&amp;B$2,Control!$A$3,"Month",""&amp;$A6)),B6,NA())</f>
        <v>73245</v>
      </c>
      <c r="F6" s="6">
        <f>IF(ISNUMBER(GETPIVOTDATA(""&amp;C$2,Control!$A$3,"Month",""&amp;$A6)),C6,NA())</f>
        <v>78653</v>
      </c>
      <c r="G6" s="6">
        <f>IF(ISNUMBER(GETPIVOTDATA(""&amp;D$2,Control!$A$3,"Month",""&amp;$A6)),D6,NA())</f>
        <v>-5408</v>
      </c>
      <c r="H6" s="6">
        <f>IF($H$1,GETPIVOTDATA("Sum of Sales Target",Control!$A$20,"Month",""&amp;A6),NA())</f>
        <v>75000</v>
      </c>
      <c r="I6" s="5" t="s">
        <v>37</v>
      </c>
      <c r="P6" s="3">
        <f>MAX(Q2:Q5)*4%</f>
        <v>843.56000000000006</v>
      </c>
      <c r="Q6" s="19"/>
      <c r="R6" s="20">
        <f>GETPIVOTDATA("Sum of Subscribers",Control!$A$3)</f>
        <v>3611</v>
      </c>
    </row>
    <row r="7" spans="1:24" x14ac:dyDescent="0.25">
      <c r="A7" s="3" t="s">
        <v>29</v>
      </c>
      <c r="B7" s="6">
        <f>IF(B$1,GETPIVOTDATA(""&amp;B$2,Control!$A$20,"Month",""&amp;$A7),NA())</f>
        <v>57139</v>
      </c>
      <c r="C7" s="6">
        <f>IF(C$1,GETPIVOTDATA(""&amp;C$2,Control!$A$20,"Month",""&amp;$A7),NA())</f>
        <v>73540</v>
      </c>
      <c r="D7" s="6">
        <f>IF(D$1,GETPIVOTDATA(""&amp;D$2,Control!$A$20,"Month",""&amp;$A7),NA())</f>
        <v>-16401</v>
      </c>
      <c r="E7" s="6" t="e">
        <f>IF(ISNUMBER(GETPIVOTDATA(""&amp;B$2,Control!$A$3,"Month",""&amp;$A7)),B7,NA())</f>
        <v>#N/A</v>
      </c>
      <c r="F7" s="6" t="e">
        <f>IF(ISNUMBER(GETPIVOTDATA(""&amp;C$2,Control!$A$3,"Month",""&amp;$A7)),C7,NA())</f>
        <v>#N/A</v>
      </c>
      <c r="G7" s="6" t="e">
        <f>IF(ISNUMBER(GETPIVOTDATA(""&amp;D$2,Control!$A$3,"Month",""&amp;$A7)),D7,NA())</f>
        <v>#N/A</v>
      </c>
      <c r="H7" s="6">
        <f>IF($H$1,GETPIVOTDATA("Sum of Sales Target",Control!$A$20,"Month",""&amp;A7),NA())</f>
        <v>75000</v>
      </c>
      <c r="I7" s="5" t="s">
        <v>38</v>
      </c>
      <c r="K7" t="s">
        <v>22</v>
      </c>
      <c r="L7" t="s">
        <v>23</v>
      </c>
      <c r="M7" s="22" t="s">
        <v>91</v>
      </c>
      <c r="N7" s="3" t="str">
        <f>IF($H$1,H17,"")</f>
        <v>Target</v>
      </c>
      <c r="P7" s="8" t="s">
        <v>47</v>
      </c>
      <c r="Q7" s="8" t="s">
        <v>48</v>
      </c>
    </row>
    <row r="8" spans="1:24" x14ac:dyDescent="0.25">
      <c r="A8" s="3" t="s">
        <v>30</v>
      </c>
      <c r="B8" s="6">
        <f>IF(B$1,GETPIVOTDATA(""&amp;B$2,Control!$A$20,"Month",""&amp;$A8),NA())</f>
        <v>44835</v>
      </c>
      <c r="C8" s="6">
        <f>IF(C$1,GETPIVOTDATA(""&amp;C$2,Control!$A$20,"Month",""&amp;$A8),NA())</f>
        <v>61426</v>
      </c>
      <c r="D8" s="6">
        <f>IF(D$1,GETPIVOTDATA(""&amp;D$2,Control!$A$20,"Month",""&amp;$A8),NA())</f>
        <v>-16591</v>
      </c>
      <c r="E8" s="6" t="e">
        <f>IF(ISNUMBER(GETPIVOTDATA(""&amp;B$2,Control!$A$3,"Month",""&amp;$A8)),B8,NA())</f>
        <v>#N/A</v>
      </c>
      <c r="F8" s="6" t="e">
        <f>IF(ISNUMBER(GETPIVOTDATA(""&amp;C$2,Control!$A$3,"Month",""&amp;$A8)),C8,NA())</f>
        <v>#N/A</v>
      </c>
      <c r="G8" s="6" t="e">
        <f>IF(ISNUMBER(GETPIVOTDATA(""&amp;D$2,Control!$A$3,"Month",""&amp;$A8)),D8,NA())</f>
        <v>#N/A</v>
      </c>
      <c r="H8" s="6">
        <f>IF($H$1,GETPIVOTDATA("Sum of Sales Target",Control!$A$20,"Month",""&amp;A8),NA())</f>
        <v>75000</v>
      </c>
      <c r="I8" s="5" t="s">
        <v>39</v>
      </c>
      <c r="J8" t="s">
        <v>6</v>
      </c>
      <c r="K8" s="4" t="s">
        <v>7</v>
      </c>
      <c r="L8" s="2">
        <f>GETPIVOTDATA(""&amp;K8,Control!$A$3)</f>
        <v>0.80000000000000016</v>
      </c>
      <c r="M8" s="9">
        <f>IF($H$1,GETPIVOTDATA("Max of Coverage Target",Control!$A$3),NA())</f>
        <v>0.8</v>
      </c>
      <c r="N8" s="9">
        <f>IF($H$1,M15,"")</f>
        <v>0.8</v>
      </c>
      <c r="P8" s="20">
        <f>GETPIVOTDATA("Sum of Leads",Control!$A$3)</f>
        <v>8422</v>
      </c>
      <c r="Q8" s="20">
        <f>GETPIVOTDATA("Sum of Deals",Control!$A$3)</f>
        <v>5058</v>
      </c>
    </row>
    <row r="9" spans="1:24" x14ac:dyDescent="0.25">
      <c r="A9" s="3" t="s">
        <v>31</v>
      </c>
      <c r="B9" s="6">
        <f>IF(B$1,GETPIVOTDATA(""&amp;B$2,Control!$A$20,"Month",""&amp;$A9),NA())</f>
        <v>52221</v>
      </c>
      <c r="C9" s="6">
        <f>IF(C$1,GETPIVOTDATA(""&amp;C$2,Control!$A$20,"Month",""&amp;$A9),NA())</f>
        <v>58031</v>
      </c>
      <c r="D9" s="6">
        <f>IF(D$1,GETPIVOTDATA(""&amp;D$2,Control!$A$20,"Month",""&amp;$A9),NA())</f>
        <v>-5810</v>
      </c>
      <c r="E9" s="6">
        <f>IF(ISNUMBER(GETPIVOTDATA(""&amp;B$2,Control!$A$3,"Month",""&amp;$A9)),B9,NA())</f>
        <v>52221</v>
      </c>
      <c r="F9" s="6">
        <f>IF(ISNUMBER(GETPIVOTDATA(""&amp;C$2,Control!$A$3,"Month",""&amp;$A9)),C9,NA())</f>
        <v>58031</v>
      </c>
      <c r="G9" s="6">
        <f>IF(ISNUMBER(GETPIVOTDATA(""&amp;D$2,Control!$A$3,"Month",""&amp;$A9)),D9,NA())</f>
        <v>-5810</v>
      </c>
      <c r="H9" s="6">
        <f>IF($H$1,GETPIVOTDATA("Sum of Sales Target",Control!$A$20,"Month",""&amp;A9),NA())</f>
        <v>75000</v>
      </c>
      <c r="J9" t="s">
        <v>8</v>
      </c>
      <c r="K9" s="4" t="s">
        <v>9</v>
      </c>
      <c r="L9" s="2">
        <f>GETPIVOTDATA(""&amp;K9,Control!$A$3)</f>
        <v>0.76666666666666661</v>
      </c>
      <c r="M9" s="9">
        <f>IF($H$1,GETPIVOTDATA("Max of Coverage Target",Control!$A$3),NA())</f>
        <v>0.8</v>
      </c>
      <c r="P9" t="s">
        <v>81</v>
      </c>
    </row>
    <row r="10" spans="1:24" x14ac:dyDescent="0.25">
      <c r="A10" s="3" t="s">
        <v>32</v>
      </c>
      <c r="B10" s="6">
        <f>IF(B$1,GETPIVOTDATA(""&amp;B$2,Control!$A$20,"Month",""&amp;$A10),NA())</f>
        <v>96718</v>
      </c>
      <c r="C10" s="6">
        <f>IF(C$1,GETPIVOTDATA(""&amp;C$2,Control!$A$20,"Month",""&amp;$A10),NA())</f>
        <v>65713</v>
      </c>
      <c r="D10" s="6">
        <f>IF(D$1,GETPIVOTDATA(""&amp;D$2,Control!$A$20,"Month",""&amp;$A10),NA())</f>
        <v>31005</v>
      </c>
      <c r="E10" s="6" t="e">
        <f>IF(ISNUMBER(GETPIVOTDATA(""&amp;B$2,Control!$A$3,"Month",""&amp;$A10)),B10,NA())</f>
        <v>#N/A</v>
      </c>
      <c r="F10" s="6" t="e">
        <f>IF(ISNUMBER(GETPIVOTDATA(""&amp;C$2,Control!$A$3,"Month",""&amp;$A10)),C10,NA())</f>
        <v>#N/A</v>
      </c>
      <c r="G10" s="6" t="e">
        <f>IF(ISNUMBER(GETPIVOTDATA(""&amp;D$2,Control!$A$3,"Month",""&amp;$A10)),D10,NA())</f>
        <v>#N/A</v>
      </c>
      <c r="H10" s="6">
        <f>IF($H$1,GETPIVOTDATA("Sum of Sales Target",Control!$A$20,"Month",""&amp;A10),NA())</f>
        <v>75000</v>
      </c>
      <c r="J10" t="s">
        <v>11</v>
      </c>
      <c r="K10" s="4" t="s">
        <v>10</v>
      </c>
      <c r="L10" s="2">
        <f>GETPIVOTDATA(""&amp;K10,Control!$A$3)</f>
        <v>0.76666666666666661</v>
      </c>
      <c r="M10" s="9">
        <f>IF($H$1,GETPIVOTDATA("Max of Coverage Target",Control!$A$3),NA())</f>
        <v>0.8</v>
      </c>
      <c r="P10" s="9">
        <f>Q8/P8</f>
        <v>0.6005699358822133</v>
      </c>
      <c r="Q10" s="9">
        <f>1-P10</f>
        <v>0.3994300641177867</v>
      </c>
    </row>
    <row r="11" spans="1:24" x14ac:dyDescent="0.25">
      <c r="A11" s="3" t="s">
        <v>33</v>
      </c>
      <c r="B11" s="6">
        <f>IF(B$1,GETPIVOTDATA(""&amp;B$2,Control!$A$20,"Month",""&amp;$A11),NA())</f>
        <v>111028</v>
      </c>
      <c r="C11" s="6">
        <f>IF(C$1,GETPIVOTDATA(""&amp;C$2,Control!$A$20,"Month",""&amp;$A11),NA())</f>
        <v>80943</v>
      </c>
      <c r="D11" s="6">
        <f>IF(D$1,GETPIVOTDATA(""&amp;D$2,Control!$A$20,"Month",""&amp;$A11),NA())</f>
        <v>30085</v>
      </c>
      <c r="E11" s="6" t="e">
        <f>IF(ISNUMBER(GETPIVOTDATA(""&amp;B$2,Control!$A$3,"Month",""&amp;$A11)),B11,NA())</f>
        <v>#N/A</v>
      </c>
      <c r="F11" s="6" t="e">
        <f>IF(ISNUMBER(GETPIVOTDATA(""&amp;C$2,Control!$A$3,"Month",""&amp;$A11)),C11,NA())</f>
        <v>#N/A</v>
      </c>
      <c r="G11" s="6" t="e">
        <f>IF(ISNUMBER(GETPIVOTDATA(""&amp;D$2,Control!$A$3,"Month",""&amp;$A11)),D11,NA())</f>
        <v>#N/A</v>
      </c>
      <c r="H11" s="6">
        <f>IF($H$1,GETPIVOTDATA("Sum of Sales Target",Control!$A$20,"Month",""&amp;A11),NA())</f>
        <v>75000</v>
      </c>
      <c r="J11" t="s">
        <v>12</v>
      </c>
      <c r="K11" s="4" t="s">
        <v>13</v>
      </c>
      <c r="L11" s="2">
        <f>GETPIVOTDATA(""&amp;K11,Control!$A$3)</f>
        <v>0.73333333333333339</v>
      </c>
      <c r="M11" s="9">
        <f>IF($H$1,GETPIVOTDATA("Max of Coverage Target",Control!$A$3),NA())</f>
        <v>0.8</v>
      </c>
      <c r="P11"/>
    </row>
    <row r="12" spans="1:24" x14ac:dyDescent="0.25">
      <c r="A12" s="3" t="s">
        <v>34</v>
      </c>
      <c r="B12" s="6">
        <f>IF(B$1,GETPIVOTDATA(""&amp;B$2,Control!$A$20,"Month",""&amp;$A12),NA())</f>
        <v>105644</v>
      </c>
      <c r="C12" s="6">
        <f>IF(C$1,GETPIVOTDATA(""&amp;C$2,Control!$A$20,"Month",""&amp;$A12),NA())</f>
        <v>89819</v>
      </c>
      <c r="D12" s="6">
        <f>IF(D$1,GETPIVOTDATA(""&amp;D$2,Control!$A$20,"Month",""&amp;$A12),NA())</f>
        <v>15825</v>
      </c>
      <c r="E12" s="6" t="e">
        <f>IF(ISNUMBER(GETPIVOTDATA(""&amp;B$2,Control!$A$3,"Month",""&amp;$A12)),B12,NA())</f>
        <v>#N/A</v>
      </c>
      <c r="F12" s="6" t="e">
        <f>IF(ISNUMBER(GETPIVOTDATA(""&amp;C$2,Control!$A$3,"Month",""&amp;$A12)),C12,NA())</f>
        <v>#N/A</v>
      </c>
      <c r="G12" s="6" t="e">
        <f>IF(ISNUMBER(GETPIVOTDATA(""&amp;D$2,Control!$A$3,"Month",""&amp;$A12)),D12,NA())</f>
        <v>#N/A</v>
      </c>
      <c r="H12" s="6">
        <f>IF($H$1,GETPIVOTDATA("Sum of Sales Target",Control!$A$20,"Month",""&amp;A12),NA())</f>
        <v>75000</v>
      </c>
      <c r="J12" t="s">
        <v>14</v>
      </c>
      <c r="K12" s="4" t="s">
        <v>15</v>
      </c>
      <c r="L12" s="2">
        <f>GETPIVOTDATA(""&amp;K12,Control!$A$3)</f>
        <v>0.73333333333333339</v>
      </c>
      <c r="M12" s="9">
        <f>IF($H$1,GETPIVOTDATA("Max of Coverage Target",Control!$A$3),NA())</f>
        <v>0.8</v>
      </c>
      <c r="P12" s="3" t="s">
        <v>55</v>
      </c>
      <c r="Q12" s="9">
        <f>E15/H15</f>
        <v>0.91822666666666664</v>
      </c>
    </row>
    <row r="13" spans="1:24" x14ac:dyDescent="0.25">
      <c r="A13" s="3" t="s">
        <v>35</v>
      </c>
      <c r="B13" s="6">
        <f>IF(B$1,GETPIVOTDATA(""&amp;B$2,Control!$A$20,"Month",""&amp;$A13),NA())</f>
        <v>77026</v>
      </c>
      <c r="C13" s="6">
        <f>IF(C$1,GETPIVOTDATA(""&amp;C$2,Control!$A$20,"Month",""&amp;$A13),NA())</f>
        <v>85029</v>
      </c>
      <c r="D13" s="6">
        <f>IF(D$1,GETPIVOTDATA(""&amp;D$2,Control!$A$20,"Month",""&amp;$A13),NA())</f>
        <v>-8003</v>
      </c>
      <c r="E13" s="6" t="e">
        <f>IF(ISNUMBER(GETPIVOTDATA(""&amp;B$2,Control!$A$3,"Month",""&amp;$A13)),B13,NA())</f>
        <v>#N/A</v>
      </c>
      <c r="F13" s="6" t="e">
        <f>IF(ISNUMBER(GETPIVOTDATA(""&amp;C$2,Control!$A$3,"Month",""&amp;$A13)),C13,NA())</f>
        <v>#N/A</v>
      </c>
      <c r="G13" s="6" t="e">
        <f>IF(ISNUMBER(GETPIVOTDATA(""&amp;D$2,Control!$A$3,"Month",""&amp;$A13)),D13,NA())</f>
        <v>#N/A</v>
      </c>
      <c r="H13" s="6">
        <f>IF($H$1,GETPIVOTDATA("Sum of Sales Target",Control!$A$20,"Month",""&amp;A13),NA())</f>
        <v>75000</v>
      </c>
      <c r="J13" t="s">
        <v>16</v>
      </c>
      <c r="K13" s="4" t="s">
        <v>17</v>
      </c>
      <c r="L13" s="2">
        <f>GETPIVOTDATA(""&amp;K13,Control!$A$3)</f>
        <v>0.73333333333333339</v>
      </c>
      <c r="M13" s="9">
        <f>IF($H$1,GETPIVOTDATA("Max of Coverage Target",Control!$A$3),NA())</f>
        <v>0.8</v>
      </c>
      <c r="P13" s="9">
        <f>IF($Q$12&gt;100%,0,$Q$12)</f>
        <v>0.91822666666666664</v>
      </c>
    </row>
    <row r="14" spans="1:24" x14ac:dyDescent="0.25">
      <c r="A14" s="3" t="s">
        <v>36</v>
      </c>
      <c r="B14" s="6">
        <f>IF(B$1,GETPIVOTDATA(""&amp;B$2,Control!$A$20,"Month",""&amp;$A14),NA())</f>
        <v>90717</v>
      </c>
      <c r="C14" s="6">
        <f>IF(C$1,GETPIVOTDATA(""&amp;C$2,Control!$A$20,"Month",""&amp;$A14),NA())</f>
        <v>74016</v>
      </c>
      <c r="D14" s="6">
        <f>IF(D$1,GETPIVOTDATA(""&amp;D$2,Control!$A$20,"Month",""&amp;$A14),NA())</f>
        <v>16701</v>
      </c>
      <c r="E14" s="6" t="e">
        <f>IF(ISNUMBER(GETPIVOTDATA(""&amp;B$2,Control!$A$3,"Month",""&amp;$A14)),B14,NA())</f>
        <v>#N/A</v>
      </c>
      <c r="F14" s="6" t="e">
        <f>IF(ISNUMBER(GETPIVOTDATA(""&amp;C$2,Control!$A$3,"Month",""&amp;$A14)),C14,NA())</f>
        <v>#N/A</v>
      </c>
      <c r="G14" s="6" t="e">
        <f>IF(ISNUMBER(GETPIVOTDATA(""&amp;D$2,Control!$A$3,"Month",""&amp;$A14)),D14,NA())</f>
        <v>#N/A</v>
      </c>
      <c r="H14" s="6">
        <f>IF($H$1,GETPIVOTDATA("Sum of Sales Target",Control!$A$20,"Month",""&amp;A14),NA())</f>
        <v>75000</v>
      </c>
      <c r="J14" t="s">
        <v>18</v>
      </c>
      <c r="K14" s="4" t="s">
        <v>19</v>
      </c>
      <c r="L14" s="2">
        <f>GETPIVOTDATA(""&amp;K14,Control!$A$3)</f>
        <v>0.69999999999999984</v>
      </c>
      <c r="M14" s="9">
        <f>IF($H$1,GETPIVOTDATA("Max of Coverage Target",Control!$A$3),NA())</f>
        <v>0.8</v>
      </c>
      <c r="P14" s="9">
        <f>IF($Q$12&gt;100%,0,1-P13)</f>
        <v>8.1773333333333365E-2</v>
      </c>
    </row>
    <row r="15" spans="1:24" x14ac:dyDescent="0.25">
      <c r="E15" s="6">
        <f>GETPIVOTDATA(""&amp;B2,Control!$A$3)</f>
        <v>206601</v>
      </c>
      <c r="F15" s="6">
        <f>GETPIVOTDATA(""&amp;C2,Control!$A$3)</f>
        <v>199310</v>
      </c>
      <c r="G15" s="6">
        <f>GETPIVOTDATA(""&amp;D2,Control!$A$3)</f>
        <v>7291</v>
      </c>
      <c r="H15" s="6">
        <f>GETPIVOTDATA(""&amp;H2,Control!$A$3)</f>
        <v>225000</v>
      </c>
      <c r="J15" t="s">
        <v>21</v>
      </c>
      <c r="K15" s="4" t="s">
        <v>20</v>
      </c>
      <c r="L15" s="2">
        <f>GETPIVOTDATA(""&amp;K15,Control!$A$3)</f>
        <v>0.69999999999999984</v>
      </c>
      <c r="M15" s="9">
        <f>IF($H$1,GETPIVOTDATA("Max of Coverage Target",Control!$A$3),NA())</f>
        <v>0.8</v>
      </c>
      <c r="P15" s="9">
        <f>IF($Q$12&gt;100%,Q12-1,0)</f>
        <v>0</v>
      </c>
    </row>
    <row r="16" spans="1:24" x14ac:dyDescent="0.25">
      <c r="C16" t="b">
        <f>ISNUMBER(MATCH(C17,Control!$A$58:$A$59,0))</f>
        <v>1</v>
      </c>
      <c r="D16" t="b">
        <f>ISNUMBER(MATCH(D17,Control!$A$58:$A$59,0))</f>
        <v>1</v>
      </c>
      <c r="L16" s="2">
        <f>AVERAGE(L8:L15)</f>
        <v>0.7416666666666667</v>
      </c>
      <c r="P16" s="9">
        <f>IF($Q$12&gt;100%,1-P15,0)</f>
        <v>0</v>
      </c>
    </row>
    <row r="17" spans="1:17" x14ac:dyDescent="0.25">
      <c r="A17" s="5" t="s">
        <v>24</v>
      </c>
      <c r="B17" s="5" t="s">
        <v>79</v>
      </c>
      <c r="C17" s="8" t="s">
        <v>82</v>
      </c>
      <c r="D17" s="8" t="s">
        <v>88</v>
      </c>
      <c r="E17" s="5" t="s">
        <v>85</v>
      </c>
      <c r="F17" s="5" t="s">
        <v>84</v>
      </c>
      <c r="G17" s="5" t="s">
        <v>42</v>
      </c>
      <c r="H17" t="s">
        <v>55</v>
      </c>
      <c r="I17" s="5" t="s">
        <v>87</v>
      </c>
      <c r="K17" s="5" t="s">
        <v>24</v>
      </c>
      <c r="L17" s="5" t="s">
        <v>0</v>
      </c>
      <c r="M17" s="5" t="s">
        <v>1</v>
      </c>
      <c r="N17" s="5" t="s">
        <v>2</v>
      </c>
      <c r="O17" s="5" t="s">
        <v>3</v>
      </c>
      <c r="P17" s="5" t="s">
        <v>80</v>
      </c>
      <c r="Q17" s="3" t="s">
        <v>97</v>
      </c>
    </row>
    <row r="18" spans="1:17" x14ac:dyDescent="0.25">
      <c r="A18" s="3" t="s">
        <v>25</v>
      </c>
      <c r="B18" s="3">
        <f>$B$30</f>
        <v>50.76</v>
      </c>
      <c r="C18" s="3">
        <f>IF(C$16,GETPIVOTDATA(""&amp;C$17,Control!$A$20,"Month",""&amp;$A18),NA())</f>
        <v>538</v>
      </c>
      <c r="D18" s="3">
        <f>IF(D$16,GETPIVOTDATA(""&amp;D$17,Control!$A$20,"Month",""&amp;$A18),NA())</f>
        <v>510</v>
      </c>
      <c r="E18" s="3">
        <f>B18</f>
        <v>50.76</v>
      </c>
      <c r="F18" s="3" t="e">
        <f>IF(ISNUMBER(GETPIVOTDATA("Sum of Revenue",Control!$A$3,"Month",""&amp;$A18)),C18,NA())</f>
        <v>#N/A</v>
      </c>
      <c r="G18" s="3" t="e">
        <f>IF(ISNUMBER(GETPIVOTDATA("Sum of Revenue",Control!$A$3,"Month",""&amp;$A18)),D18,NA())</f>
        <v>#N/A</v>
      </c>
      <c r="H18" s="3">
        <f>IF($H$1,GETPIVOTDATA(""&amp;H$30,Control!$A$20,"Month",""&amp;A3),NA())</f>
        <v>1400</v>
      </c>
      <c r="I18" s="8" t="s">
        <v>82</v>
      </c>
      <c r="K18" s="3" t="s">
        <v>25</v>
      </c>
      <c r="L18" s="9" t="e">
        <f>IF(L$30,GETPIVOTDATA(""&amp;L$17,Control!$A$20,"Month",""&amp;$K18),NA())</f>
        <v>#N/A</v>
      </c>
      <c r="M18" s="9">
        <f>IF(M$30,GETPIVOTDATA(""&amp;M$17,Control!$A$20,"Month",""&amp;$K18),NA())</f>
        <v>0.33</v>
      </c>
      <c r="N18" s="9" t="e">
        <f>IF(N$30,GETPIVOTDATA(""&amp;N$17,Control!$A$20,"Month",""&amp;$K18),NA())</f>
        <v>#N/A</v>
      </c>
      <c r="O18" s="9" t="e">
        <f>IF(O$30,GETPIVOTDATA(""&amp;O$17,Control!$A$20,"Month",""&amp;$K18),NA())</f>
        <v>#N/A</v>
      </c>
      <c r="P18" s="9" t="e" cm="1">
        <f t="array" ref="P18">IF(ISNA(F18),F18,MAX(IFERROR($L$18:$O$29,0)+10%))</f>
        <v>#N/A</v>
      </c>
      <c r="Q18" s="5" t="s">
        <v>0</v>
      </c>
    </row>
    <row r="19" spans="1:17" x14ac:dyDescent="0.25">
      <c r="A19" s="3" t="s">
        <v>26</v>
      </c>
      <c r="B19" s="3">
        <f t="shared" ref="B19:B29" si="0">$B$30</f>
        <v>50.76</v>
      </c>
      <c r="C19" s="3">
        <f>IF(C$16,GETPIVOTDATA(""&amp;C$17,Control!$A$20,"Month",""&amp;$A19),NA())</f>
        <v>797</v>
      </c>
      <c r="D19" s="3">
        <f>IF(D$16,GETPIVOTDATA(""&amp;D$17,Control!$A$20,"Month",""&amp;$A19),NA())</f>
        <v>318</v>
      </c>
      <c r="E19" s="3">
        <f t="shared" ref="E19:E29" si="1">B19</f>
        <v>50.76</v>
      </c>
      <c r="F19" s="3">
        <f>IF(ISNUMBER(GETPIVOTDATA("Sum of Revenue",Control!$A$3,"Month",""&amp;$A19)),C19,NA())</f>
        <v>797</v>
      </c>
      <c r="G19" s="3">
        <f>IF(ISNUMBER(GETPIVOTDATA("Sum of Revenue",Control!$A$3,"Month",""&amp;$A19)),D19,NA())</f>
        <v>318</v>
      </c>
      <c r="H19" s="3">
        <f>IF($H$1,GETPIVOTDATA(""&amp;H$30,Control!$A$20,"Month",""&amp;A4),NA())</f>
        <v>1400</v>
      </c>
      <c r="I19" s="8" t="s">
        <v>88</v>
      </c>
      <c r="K19" s="3" t="s">
        <v>26</v>
      </c>
      <c r="L19" s="9" t="e">
        <f>IF(L$30,GETPIVOTDATA(""&amp;L$17,Control!$A$20,"Month",""&amp;$K19),NA())</f>
        <v>#N/A</v>
      </c>
      <c r="M19" s="9">
        <f>IF(M$30,GETPIVOTDATA(""&amp;M$17,Control!$A$20,"Month",""&amp;$K19),NA())</f>
        <v>0.45</v>
      </c>
      <c r="N19" s="9" t="e">
        <f>IF(N$30,GETPIVOTDATA(""&amp;N$17,Control!$A$20,"Month",""&amp;$K19),NA())</f>
        <v>#N/A</v>
      </c>
      <c r="O19" s="9" t="e">
        <f>IF(O$30,GETPIVOTDATA(""&amp;O$17,Control!$A$20,"Month",""&amp;$K19),NA())</f>
        <v>#N/A</v>
      </c>
      <c r="P19" s="9" cm="1">
        <f t="array" ref="P19">IF(ISNA(F19),F19,MAX(IFERROR($L$18:$O$29,0)+10%))</f>
        <v>0.6</v>
      </c>
      <c r="Q19" s="5" t="s">
        <v>1</v>
      </c>
    </row>
    <row r="20" spans="1:17" x14ac:dyDescent="0.25">
      <c r="A20" s="3" t="s">
        <v>27</v>
      </c>
      <c r="B20" s="3">
        <f t="shared" si="0"/>
        <v>50.76</v>
      </c>
      <c r="C20" s="3">
        <f>IF(C$16,GETPIVOTDATA(""&amp;C$17,Control!$A$20,"Month",""&amp;$A20),NA())</f>
        <v>565</v>
      </c>
      <c r="D20" s="3">
        <f>IF(D$16,GETPIVOTDATA(""&amp;D$17,Control!$A$20,"Month",""&amp;$A20),NA())</f>
        <v>540</v>
      </c>
      <c r="E20" s="3">
        <f t="shared" si="1"/>
        <v>50.76</v>
      </c>
      <c r="F20" s="3" t="e">
        <f>IF(ISNUMBER(GETPIVOTDATA("Sum of Revenue",Control!$A$3,"Month",""&amp;$A20)),C20,NA())</f>
        <v>#N/A</v>
      </c>
      <c r="G20" s="3" t="e">
        <f>IF(ISNUMBER(GETPIVOTDATA("Sum of Revenue",Control!$A$3,"Month",""&amp;$A20)),D20,NA())</f>
        <v>#N/A</v>
      </c>
      <c r="H20" s="3">
        <f>IF($H$1,GETPIVOTDATA(""&amp;H$30,Control!$A$20,"Month",""&amp;A5),NA())</f>
        <v>1400</v>
      </c>
      <c r="K20" s="3" t="s">
        <v>27</v>
      </c>
      <c r="L20" s="9" t="e">
        <f>IF(L$30,GETPIVOTDATA(""&amp;L$17,Control!$A$20,"Month",""&amp;$K20),NA())</f>
        <v>#N/A</v>
      </c>
      <c r="M20" s="9">
        <f>IF(M$30,GETPIVOTDATA(""&amp;M$17,Control!$A$20,"Month",""&amp;$K20),NA())</f>
        <v>0.38</v>
      </c>
      <c r="N20" s="9" t="e">
        <f>IF(N$30,GETPIVOTDATA(""&amp;N$17,Control!$A$20,"Month",""&amp;$K20),NA())</f>
        <v>#N/A</v>
      </c>
      <c r="O20" s="9" t="e">
        <f>IF(O$30,GETPIVOTDATA(""&amp;O$17,Control!$A$20,"Month",""&amp;$K20),NA())</f>
        <v>#N/A</v>
      </c>
      <c r="P20" s="9" t="e" cm="1">
        <f t="array" ref="P20">IF(ISNA(F20),F20,MAX(IFERROR($L$18:$O$29,0)+10%))</f>
        <v>#N/A</v>
      </c>
      <c r="Q20" s="5" t="s">
        <v>2</v>
      </c>
    </row>
    <row r="21" spans="1:17" x14ac:dyDescent="0.25">
      <c r="A21" s="3" t="s">
        <v>28</v>
      </c>
      <c r="B21" s="3">
        <f t="shared" si="0"/>
        <v>50.76</v>
      </c>
      <c r="C21" s="3">
        <f>IF(C$16,GETPIVOTDATA(""&amp;C$17,Control!$A$20,"Month",""&amp;$A21),NA())</f>
        <v>882</v>
      </c>
      <c r="D21" s="3">
        <f>IF(D$16,GETPIVOTDATA(""&amp;D$17,Control!$A$20,"Month",""&amp;$A21),NA())</f>
        <v>325</v>
      </c>
      <c r="E21" s="3">
        <f t="shared" si="1"/>
        <v>50.76</v>
      </c>
      <c r="F21" s="3">
        <f>IF(ISNUMBER(GETPIVOTDATA("Sum of Revenue",Control!$A$3,"Month",""&amp;$A21)),C21,NA())</f>
        <v>882</v>
      </c>
      <c r="G21" s="3">
        <f>IF(ISNUMBER(GETPIVOTDATA("Sum of Revenue",Control!$A$3,"Month",""&amp;$A21)),D21,NA())</f>
        <v>325</v>
      </c>
      <c r="H21" s="3">
        <f>IF($H$1,GETPIVOTDATA(""&amp;H$30,Control!$A$20,"Month",""&amp;A6),NA())</f>
        <v>1400</v>
      </c>
      <c r="I21" s="3" t="str">
        <f>IF(H1,"Total Target","")</f>
        <v>Total Target</v>
      </c>
      <c r="K21" s="3" t="s">
        <v>28</v>
      </c>
      <c r="L21" s="9" t="e">
        <f>IF(L$30,GETPIVOTDATA(""&amp;L$17,Control!$A$20,"Month",""&amp;$K21),NA())</f>
        <v>#N/A</v>
      </c>
      <c r="M21" s="9">
        <f>IF(M$30,GETPIVOTDATA(""&amp;M$17,Control!$A$20,"Month",""&amp;$K21),NA())</f>
        <v>0.41</v>
      </c>
      <c r="N21" s="9" t="e">
        <f>IF(N$30,GETPIVOTDATA(""&amp;N$17,Control!$A$20,"Month",""&amp;$K21),NA())</f>
        <v>#N/A</v>
      </c>
      <c r="O21" s="9" t="e">
        <f>IF(O$30,GETPIVOTDATA(""&amp;O$17,Control!$A$20,"Month",""&amp;$K21),NA())</f>
        <v>#N/A</v>
      </c>
      <c r="P21" s="9" cm="1">
        <f t="array" ref="P21">IF(ISNA(F21),F21,MAX(IFERROR($L$18:$O$29,0)+10%))</f>
        <v>0.6</v>
      </c>
      <c r="Q21" s="5" t="s">
        <v>3</v>
      </c>
    </row>
    <row r="22" spans="1:17" x14ac:dyDescent="0.25">
      <c r="A22" s="3" t="s">
        <v>29</v>
      </c>
      <c r="B22" s="3">
        <f t="shared" si="0"/>
        <v>50.76</v>
      </c>
      <c r="C22" s="3">
        <f>IF(C$16,GETPIVOTDATA(""&amp;C$17,Control!$A$20,"Month",""&amp;$A22),NA())</f>
        <v>597</v>
      </c>
      <c r="D22" s="3">
        <f>IF(D$16,GETPIVOTDATA(""&amp;D$17,Control!$A$20,"Month",""&amp;$A22),NA())</f>
        <v>611</v>
      </c>
      <c r="E22" s="3">
        <f t="shared" si="1"/>
        <v>50.76</v>
      </c>
      <c r="F22" s="3" t="e">
        <f>IF(ISNUMBER(GETPIVOTDATA("Sum of Revenue",Control!$A$3,"Month",""&amp;$A22)),C22,NA())</f>
        <v>#N/A</v>
      </c>
      <c r="G22" s="3" t="e">
        <f>IF(ISNUMBER(GETPIVOTDATA("Sum of Revenue",Control!$A$3,"Month",""&amp;$A22)),D22,NA())</f>
        <v>#N/A</v>
      </c>
      <c r="H22" s="3">
        <f>IF($H$1,GETPIVOTDATA(""&amp;H$30,Control!$A$20,"Month",""&amp;A7),NA())</f>
        <v>1400</v>
      </c>
      <c r="I22" s="3">
        <f>IF(H1,H18,"")</f>
        <v>1400</v>
      </c>
      <c r="K22" s="3" t="s">
        <v>29</v>
      </c>
      <c r="L22" s="9" t="e">
        <f>IF(L$30,GETPIVOTDATA(""&amp;L$17,Control!$A$20,"Month",""&amp;$K22),NA())</f>
        <v>#N/A</v>
      </c>
      <c r="M22" s="9">
        <f>IF(M$30,GETPIVOTDATA(""&amp;M$17,Control!$A$20,"Month",""&amp;$K22),NA())</f>
        <v>0.23</v>
      </c>
      <c r="N22" s="9" t="e">
        <f>IF(N$30,GETPIVOTDATA(""&amp;N$17,Control!$A$20,"Month",""&amp;$K22),NA())</f>
        <v>#N/A</v>
      </c>
      <c r="O22" s="9" t="e">
        <f>IF(O$30,GETPIVOTDATA(""&amp;O$17,Control!$A$20,"Month",""&amp;$K22),NA())</f>
        <v>#N/A</v>
      </c>
      <c r="P22" s="9" t="e" cm="1">
        <f t="array" ref="P22">IF(ISNA(F22),F22,MAX(IFERROR($L$18:$O$29,0)+10%))</f>
        <v>#N/A</v>
      </c>
    </row>
    <row r="23" spans="1:17" x14ac:dyDescent="0.25">
      <c r="A23" s="3" t="s">
        <v>30</v>
      </c>
      <c r="B23" s="3">
        <f t="shared" si="0"/>
        <v>50.76</v>
      </c>
      <c r="C23" s="3">
        <f>IF(C$16,GETPIVOTDATA(""&amp;C$17,Control!$A$20,"Month",""&amp;$A23),NA())</f>
        <v>645</v>
      </c>
      <c r="D23" s="3">
        <f>IF(D$16,GETPIVOTDATA(""&amp;D$17,Control!$A$20,"Month",""&amp;$A23),NA())</f>
        <v>616</v>
      </c>
      <c r="E23" s="3">
        <f t="shared" si="1"/>
        <v>50.76</v>
      </c>
      <c r="F23" s="3" t="e">
        <f>IF(ISNUMBER(GETPIVOTDATA("Sum of Revenue",Control!$A$3,"Month",""&amp;$A23)),C23,NA())</f>
        <v>#N/A</v>
      </c>
      <c r="G23" s="3" t="e">
        <f>IF(ISNUMBER(GETPIVOTDATA("Sum of Revenue",Control!$A$3,"Month",""&amp;$A23)),D23,NA())</f>
        <v>#N/A</v>
      </c>
      <c r="H23" s="3">
        <f>IF($H$1,GETPIVOTDATA(""&amp;H$30,Control!$A$20,"Month",""&amp;A8),NA())</f>
        <v>1400</v>
      </c>
      <c r="K23" s="3" t="s">
        <v>30</v>
      </c>
      <c r="L23" s="9" t="e">
        <f>IF(L$30,GETPIVOTDATA(""&amp;L$17,Control!$A$20,"Month",""&amp;$K23),NA())</f>
        <v>#N/A</v>
      </c>
      <c r="M23" s="9">
        <f>IF(M$30,GETPIVOTDATA(""&amp;M$17,Control!$A$20,"Month",""&amp;$K23),NA())</f>
        <v>0.23</v>
      </c>
      <c r="N23" s="9" t="e">
        <f>IF(N$30,GETPIVOTDATA(""&amp;N$17,Control!$A$20,"Month",""&amp;$K23),NA())</f>
        <v>#N/A</v>
      </c>
      <c r="O23" s="9" t="e">
        <f>IF(O$30,GETPIVOTDATA(""&amp;O$17,Control!$A$20,"Month",""&amp;$K23),NA())</f>
        <v>#N/A</v>
      </c>
      <c r="P23" s="9" t="e" cm="1">
        <f t="array" ref="P23">IF(ISNA(F23),F23,MAX(IFERROR($L$18:$O$29,0)+10%))</f>
        <v>#N/A</v>
      </c>
    </row>
    <row r="24" spans="1:17" x14ac:dyDescent="0.25">
      <c r="A24" s="3" t="s">
        <v>31</v>
      </c>
      <c r="B24" s="3">
        <f t="shared" si="0"/>
        <v>50.76</v>
      </c>
      <c r="C24" s="3">
        <f>IF(C$16,GETPIVOTDATA(""&amp;C$17,Control!$A$20,"Month",""&amp;$A24),NA())</f>
        <v>790</v>
      </c>
      <c r="D24" s="3">
        <f>IF(D$16,GETPIVOTDATA(""&amp;D$17,Control!$A$20,"Month",""&amp;$A24),NA())</f>
        <v>499</v>
      </c>
      <c r="E24" s="3">
        <f t="shared" si="1"/>
        <v>50.76</v>
      </c>
      <c r="F24" s="3">
        <f>IF(ISNUMBER(GETPIVOTDATA("Sum of Revenue",Control!$A$3,"Month",""&amp;$A24)),C24,NA())</f>
        <v>790</v>
      </c>
      <c r="G24" s="3">
        <f>IF(ISNUMBER(GETPIVOTDATA("Sum of Revenue",Control!$A$3,"Month",""&amp;$A24)),D24,NA())</f>
        <v>499</v>
      </c>
      <c r="H24" s="3">
        <f>IF($H$1,GETPIVOTDATA(""&amp;H$30,Control!$A$20,"Month",""&amp;A9),NA())</f>
        <v>1400</v>
      </c>
      <c r="K24" s="3" t="s">
        <v>31</v>
      </c>
      <c r="L24" s="9" t="e">
        <f>IF(L$30,GETPIVOTDATA(""&amp;L$17,Control!$A$20,"Month",""&amp;$K24),NA())</f>
        <v>#N/A</v>
      </c>
      <c r="M24" s="9">
        <f>IF(M$30,GETPIVOTDATA(""&amp;M$17,Control!$A$20,"Month",""&amp;$K24),NA())</f>
        <v>0.32</v>
      </c>
      <c r="N24" s="9" t="e">
        <f>IF(N$30,GETPIVOTDATA(""&amp;N$17,Control!$A$20,"Month",""&amp;$K24),NA())</f>
        <v>#N/A</v>
      </c>
      <c r="O24" s="9" t="e">
        <f>IF(O$30,GETPIVOTDATA(""&amp;O$17,Control!$A$20,"Month",""&amp;$K24),NA())</f>
        <v>#N/A</v>
      </c>
      <c r="P24" s="9" cm="1">
        <f t="array" ref="P24">IF(ISNA(F24),F24,MAX(IFERROR($L$18:$O$29,0)+10%))</f>
        <v>0.6</v>
      </c>
    </row>
    <row r="25" spans="1:17" x14ac:dyDescent="0.25">
      <c r="A25" s="3" t="s">
        <v>32</v>
      </c>
      <c r="B25" s="3">
        <f t="shared" si="0"/>
        <v>50.76</v>
      </c>
      <c r="C25" s="3">
        <f>IF(C$16,GETPIVOTDATA(""&amp;C$17,Control!$A$20,"Month",""&amp;$A25),NA())</f>
        <v>996</v>
      </c>
      <c r="D25" s="3">
        <f>IF(D$16,GETPIVOTDATA(""&amp;D$17,Control!$A$20,"Month",""&amp;$A25),NA())</f>
        <v>431</v>
      </c>
      <c r="E25" s="3">
        <f t="shared" si="1"/>
        <v>50.76</v>
      </c>
      <c r="F25" s="3" t="e">
        <f>IF(ISNUMBER(GETPIVOTDATA("Sum of Revenue",Control!$A$3,"Month",""&amp;$A25)),C25,NA())</f>
        <v>#N/A</v>
      </c>
      <c r="G25" s="3" t="e">
        <f>IF(ISNUMBER(GETPIVOTDATA("Sum of Revenue",Control!$A$3,"Month",""&amp;$A25)),D25,NA())</f>
        <v>#N/A</v>
      </c>
      <c r="H25" s="3">
        <f>IF($H$1,GETPIVOTDATA(""&amp;H$30,Control!$A$20,"Month",""&amp;A10),NA())</f>
        <v>1400</v>
      </c>
      <c r="K25" s="3" t="s">
        <v>32</v>
      </c>
      <c r="L25" s="9" t="e">
        <f>IF(L$30,GETPIVOTDATA(""&amp;L$17,Control!$A$20,"Month",""&amp;$K25),NA())</f>
        <v>#N/A</v>
      </c>
      <c r="M25" s="9">
        <f>IF(M$30,GETPIVOTDATA(""&amp;M$17,Control!$A$20,"Month",""&amp;$K25),NA())</f>
        <v>0.24</v>
      </c>
      <c r="N25" s="9" t="e">
        <f>IF(N$30,GETPIVOTDATA(""&amp;N$17,Control!$A$20,"Month",""&amp;$K25),NA())</f>
        <v>#N/A</v>
      </c>
      <c r="O25" s="9" t="e">
        <f>IF(O$30,GETPIVOTDATA(""&amp;O$17,Control!$A$20,"Month",""&amp;$K25),NA())</f>
        <v>#N/A</v>
      </c>
      <c r="P25" s="9" t="e" cm="1">
        <f t="array" ref="P25">IF(ISNA(F25),F25,MAX(IFERROR($L$18:$O$29,0)+10%))</f>
        <v>#N/A</v>
      </c>
    </row>
    <row r="26" spans="1:17" x14ac:dyDescent="0.25">
      <c r="A26" s="3" t="s">
        <v>33</v>
      </c>
      <c r="B26" s="3">
        <f t="shared" si="0"/>
        <v>50.76</v>
      </c>
      <c r="C26" s="3">
        <f>IF(C$16,GETPIVOTDATA(""&amp;C$17,Control!$A$20,"Month",""&amp;$A26),NA())</f>
        <v>1183</v>
      </c>
      <c r="D26" s="3">
        <f>IF(D$16,GETPIVOTDATA(""&amp;D$17,Control!$A$20,"Month",""&amp;$A26),NA())</f>
        <v>210</v>
      </c>
      <c r="E26" s="3">
        <f t="shared" si="1"/>
        <v>50.76</v>
      </c>
      <c r="F26" s="3" t="e">
        <f>IF(ISNUMBER(GETPIVOTDATA("Sum of Revenue",Control!$A$3,"Month",""&amp;$A26)),C26,NA())</f>
        <v>#N/A</v>
      </c>
      <c r="G26" s="3" t="e">
        <f>IF(ISNUMBER(GETPIVOTDATA("Sum of Revenue",Control!$A$3,"Month",""&amp;$A26)),D26,NA())</f>
        <v>#N/A</v>
      </c>
      <c r="H26" s="3">
        <f>IF($H$1,GETPIVOTDATA(""&amp;H$30,Control!$A$20,"Month",""&amp;A11),NA())</f>
        <v>1400</v>
      </c>
      <c r="K26" s="3" t="s">
        <v>33</v>
      </c>
      <c r="L26" s="9" t="e">
        <f>IF(L$30,GETPIVOTDATA(""&amp;L$17,Control!$A$20,"Month",""&amp;$K26),NA())</f>
        <v>#N/A</v>
      </c>
      <c r="M26" s="9">
        <f>IF(M$30,GETPIVOTDATA(""&amp;M$17,Control!$A$20,"Month",""&amp;$K26),NA())</f>
        <v>0.4</v>
      </c>
      <c r="N26" s="9" t="e">
        <f>IF(N$30,GETPIVOTDATA(""&amp;N$17,Control!$A$20,"Month",""&amp;$K26),NA())</f>
        <v>#N/A</v>
      </c>
      <c r="O26" s="9" t="e">
        <f>IF(O$30,GETPIVOTDATA(""&amp;O$17,Control!$A$20,"Month",""&amp;$K26),NA())</f>
        <v>#N/A</v>
      </c>
      <c r="P26" s="9" t="e" cm="1">
        <f t="array" ref="P26">IF(ISNA(F26),F26,MAX(IFERROR($L$18:$O$29,0)+10%))</f>
        <v>#N/A</v>
      </c>
    </row>
    <row r="27" spans="1:17" x14ac:dyDescent="0.25">
      <c r="A27" s="3" t="s">
        <v>34</v>
      </c>
      <c r="B27" s="3">
        <f t="shared" si="0"/>
        <v>50.76</v>
      </c>
      <c r="C27" s="3">
        <f>IF(C$16,GETPIVOTDATA(""&amp;C$17,Control!$A$20,"Month",""&amp;$A27),NA())</f>
        <v>876</v>
      </c>
      <c r="D27" s="3">
        <f>IF(D$16,GETPIVOTDATA(""&amp;D$17,Control!$A$20,"Month",""&amp;$A27),NA())</f>
        <v>516</v>
      </c>
      <c r="E27" s="3">
        <f t="shared" si="1"/>
        <v>50.76</v>
      </c>
      <c r="F27" s="3" t="e">
        <f>IF(ISNUMBER(GETPIVOTDATA("Sum of Revenue",Control!$A$3,"Month",""&amp;$A27)),C27,NA())</f>
        <v>#N/A</v>
      </c>
      <c r="G27" s="3" t="e">
        <f>IF(ISNUMBER(GETPIVOTDATA("Sum of Revenue",Control!$A$3,"Month",""&amp;$A27)),D27,NA())</f>
        <v>#N/A</v>
      </c>
      <c r="H27" s="3">
        <f>IF($H$1,GETPIVOTDATA(""&amp;H$30,Control!$A$20,"Month",""&amp;A12),NA())</f>
        <v>1400</v>
      </c>
      <c r="K27" s="3" t="s">
        <v>34</v>
      </c>
      <c r="L27" s="9" t="e">
        <f>IF(L$30,GETPIVOTDATA(""&amp;L$17,Control!$A$20,"Month",""&amp;$K27),NA())</f>
        <v>#N/A</v>
      </c>
      <c r="M27" s="9">
        <f>IF(M$30,GETPIVOTDATA(""&amp;M$17,Control!$A$20,"Month",""&amp;$K27),NA())</f>
        <v>0.5</v>
      </c>
      <c r="N27" s="9" t="e">
        <f>IF(N$30,GETPIVOTDATA(""&amp;N$17,Control!$A$20,"Month",""&amp;$K27),NA())</f>
        <v>#N/A</v>
      </c>
      <c r="O27" s="9" t="e">
        <f>IF(O$30,GETPIVOTDATA(""&amp;O$17,Control!$A$20,"Month",""&amp;$K27),NA())</f>
        <v>#N/A</v>
      </c>
      <c r="P27" s="9" t="e" cm="1">
        <f t="array" ref="P27">IF(ISNA(F27),F27,MAX(IFERROR($L$18:$O$29,0)+10%))</f>
        <v>#N/A</v>
      </c>
    </row>
    <row r="28" spans="1:17" x14ac:dyDescent="0.25">
      <c r="A28" s="3" t="s">
        <v>35</v>
      </c>
      <c r="B28" s="3">
        <f t="shared" si="0"/>
        <v>50.76</v>
      </c>
      <c r="C28" s="3">
        <f>IF(C$16,GETPIVOTDATA(""&amp;C$17,Control!$A$20,"Month",""&amp;$A28),NA())</f>
        <v>1101</v>
      </c>
      <c r="D28" s="3">
        <f>IF(D$16,GETPIVOTDATA(""&amp;D$17,Control!$A$20,"Month",""&amp;$A28),NA())</f>
        <v>406</v>
      </c>
      <c r="E28" s="3">
        <f t="shared" si="1"/>
        <v>50.76</v>
      </c>
      <c r="F28" s="3" t="e">
        <f>IF(ISNUMBER(GETPIVOTDATA("Sum of Revenue",Control!$A$3,"Month",""&amp;$A28)),C28,NA())</f>
        <v>#N/A</v>
      </c>
      <c r="G28" s="3" t="e">
        <f>IF(ISNUMBER(GETPIVOTDATA("Sum of Revenue",Control!$A$3,"Month",""&amp;$A28)),D28,NA())</f>
        <v>#N/A</v>
      </c>
      <c r="H28" s="3">
        <f>IF($H$1,GETPIVOTDATA(""&amp;H$30,Control!$A$20,"Month",""&amp;A13),NA())</f>
        <v>1400</v>
      </c>
      <c r="K28" s="3" t="s">
        <v>35</v>
      </c>
      <c r="L28" s="9" t="e">
        <f>IF(L$30,GETPIVOTDATA(""&amp;L$17,Control!$A$20,"Month",""&amp;$K28),NA())</f>
        <v>#N/A</v>
      </c>
      <c r="M28" s="9">
        <f>IF(M$30,GETPIVOTDATA(""&amp;M$17,Control!$A$20,"Month",""&amp;$K28),NA())</f>
        <v>0.33</v>
      </c>
      <c r="N28" s="9" t="e">
        <f>IF(N$30,GETPIVOTDATA(""&amp;N$17,Control!$A$20,"Month",""&amp;$K28),NA())</f>
        <v>#N/A</v>
      </c>
      <c r="O28" s="9" t="e">
        <f>IF(O$30,GETPIVOTDATA(""&amp;O$17,Control!$A$20,"Month",""&amp;$K28),NA())</f>
        <v>#N/A</v>
      </c>
      <c r="P28" s="9" t="e" cm="1">
        <f t="array" ref="P28">IF(ISNA(F28),F28,MAX(IFERROR($L$18:$O$29,0)+10%))</f>
        <v>#N/A</v>
      </c>
    </row>
    <row r="29" spans="1:17" x14ac:dyDescent="0.25">
      <c r="A29" s="3" t="s">
        <v>36</v>
      </c>
      <c r="B29" s="3">
        <f t="shared" si="0"/>
        <v>50.76</v>
      </c>
      <c r="C29" s="3">
        <f>IF(C$16,GETPIVOTDATA(""&amp;C$17,Control!$A$20,"Month",""&amp;$A29),NA())</f>
        <v>1269</v>
      </c>
      <c r="D29" s="3">
        <f>IF(D$16,GETPIVOTDATA(""&amp;D$17,Control!$A$20,"Month",""&amp;$A29),NA())</f>
        <v>197</v>
      </c>
      <c r="E29" s="3">
        <f t="shared" si="1"/>
        <v>50.76</v>
      </c>
      <c r="F29" s="3" t="e">
        <f>IF(ISNUMBER(GETPIVOTDATA("Sum of Revenue",Control!$A$3,"Month",""&amp;$A29)),C29,NA())</f>
        <v>#N/A</v>
      </c>
      <c r="G29" s="3" t="e">
        <f>IF(ISNUMBER(GETPIVOTDATA("Sum of Revenue",Control!$A$3,"Month",""&amp;$A29)),D29,NA())</f>
        <v>#N/A</v>
      </c>
      <c r="H29" s="3">
        <f>IF($H$1,GETPIVOTDATA(""&amp;H$30,Control!$A$20,"Month",""&amp;A14),NA())</f>
        <v>1400</v>
      </c>
      <c r="K29" s="3" t="s">
        <v>36</v>
      </c>
      <c r="L29" s="9" t="e">
        <f>IF(L$30,GETPIVOTDATA(""&amp;L$17,Control!$A$20,"Month",""&amp;$K29),NA())</f>
        <v>#N/A</v>
      </c>
      <c r="M29" s="9">
        <f>IF(M$30,GETPIVOTDATA(""&amp;M$17,Control!$A$20,"Month",""&amp;$K29),NA())</f>
        <v>0.3</v>
      </c>
      <c r="N29" s="9" t="e">
        <f>IF(N$30,GETPIVOTDATA(""&amp;N$17,Control!$A$20,"Month",""&amp;$K29),NA())</f>
        <v>#N/A</v>
      </c>
      <c r="O29" s="9" t="e">
        <f>IF(O$30,GETPIVOTDATA(""&amp;O$17,Control!$A$20,"Month",""&amp;$K29),NA())</f>
        <v>#N/A</v>
      </c>
      <c r="P29" s="9" t="e" cm="1">
        <f t="array" ref="P29">IF(ISNA(F29),F29,MAX(IFERROR($L$18:$O$29,0)+10%))</f>
        <v>#N/A</v>
      </c>
    </row>
    <row r="30" spans="1:17" x14ac:dyDescent="0.25">
      <c r="B30" s="3" cm="1">
        <f t="array" ref="B30">MAX(IFERROR(C18:D29,0))*4%</f>
        <v>50.76</v>
      </c>
      <c r="F30" s="19">
        <f>GETPIVOTDATA("Sum of Standart",Control!$A$3)</f>
        <v>2469</v>
      </c>
      <c r="G30" s="19">
        <f>GETPIVOTDATA("Sum of Premium",Control!$A$3)</f>
        <v>1142</v>
      </c>
      <c r="H30" t="s">
        <v>46</v>
      </c>
      <c r="L30" t="b">
        <f>ISNUMBER(MATCH(L17,Control!$A$63:$A$66,0))</f>
        <v>0</v>
      </c>
      <c r="M30" t="b">
        <f>ISNUMBER(MATCH(M17,Control!$A$63:$A$66,0))</f>
        <v>1</v>
      </c>
      <c r="N30" t="b">
        <f>ISNUMBER(MATCH(N17,Control!$A$63:$A$66,0))</f>
        <v>0</v>
      </c>
      <c r="O30" t="b">
        <f>ISNUMBER(MATCH(O17,Control!$A$63:$A$66,0))</f>
        <v>0</v>
      </c>
    </row>
  </sheetData>
  <mergeCells count="1">
    <mergeCell ref="S1:X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FE582-3F63-4DD3-A0C1-6ABC81E40394}">
  <sheetPr codeName="Sheet7"/>
  <dimension ref="A1:X64"/>
  <sheetViews>
    <sheetView workbookViewId="0"/>
  </sheetViews>
  <sheetFormatPr defaultRowHeight="15" x14ac:dyDescent="0.25"/>
  <cols>
    <col min="1" max="1" width="13.42578125" bestFit="1" customWidth="1"/>
    <col min="2" max="2" width="18.7109375" bestFit="1" customWidth="1"/>
    <col min="3" max="3" width="16.5703125" bestFit="1" customWidth="1"/>
    <col min="4" max="4" width="12.7109375" bestFit="1" customWidth="1"/>
    <col min="5" max="5" width="18.85546875" bestFit="1" customWidth="1"/>
    <col min="6" max="6" width="15.42578125" bestFit="1" customWidth="1"/>
    <col min="7" max="7" width="16" bestFit="1" customWidth="1"/>
    <col min="8" max="8" width="18.7109375" bestFit="1" customWidth="1"/>
    <col min="9" max="9" width="24.85546875" bestFit="1" customWidth="1"/>
    <col min="10" max="10" width="15.140625" bestFit="1" customWidth="1"/>
    <col min="11" max="11" width="13.28515625" bestFit="1" customWidth="1"/>
    <col min="12" max="12" width="14.7109375" bestFit="1" customWidth="1"/>
    <col min="13" max="13" width="12.85546875" bestFit="1" customWidth="1"/>
    <col min="14" max="14" width="12" bestFit="1" customWidth="1"/>
    <col min="15" max="15" width="13.28515625" bestFit="1" customWidth="1"/>
    <col min="16" max="16" width="12" bestFit="1" customWidth="1"/>
    <col min="17" max="17" width="14" bestFit="1" customWidth="1"/>
    <col min="18" max="18" width="12.7109375" bestFit="1" customWidth="1"/>
    <col min="19" max="19" width="14.28515625" bestFit="1" customWidth="1"/>
    <col min="20" max="20" width="18.85546875" bestFit="1" customWidth="1"/>
    <col min="21" max="21" width="24.85546875" bestFit="1" customWidth="1"/>
    <col min="22" max="22" width="15.42578125" bestFit="1" customWidth="1"/>
    <col min="23" max="23" width="16" bestFit="1" customWidth="1"/>
    <col min="24" max="24" width="22.28515625" bestFit="1" customWidth="1"/>
  </cols>
  <sheetData>
    <row r="1" spans="1:24" x14ac:dyDescent="0.25">
      <c r="A1" s="23"/>
      <c r="B1" s="23"/>
      <c r="C1" s="23"/>
      <c r="D1" s="23"/>
      <c r="E1" s="23"/>
      <c r="F1" s="23"/>
    </row>
    <row r="2" spans="1:24" x14ac:dyDescent="0.25">
      <c r="A2" s="23"/>
      <c r="B2" s="23"/>
      <c r="C2" s="23"/>
      <c r="D2" s="23"/>
      <c r="E2" s="23"/>
      <c r="F2" s="23"/>
    </row>
    <row r="3" spans="1:24" x14ac:dyDescent="0.25">
      <c r="A3" s="10" t="s">
        <v>49</v>
      </c>
      <c r="B3" t="s">
        <v>51</v>
      </c>
      <c r="C3" t="s">
        <v>52</v>
      </c>
      <c r="D3" t="s">
        <v>58</v>
      </c>
      <c r="E3" t="s">
        <v>54</v>
      </c>
      <c r="F3" t="s">
        <v>65</v>
      </c>
      <c r="G3" t="s">
        <v>66</v>
      </c>
      <c r="H3" t="s">
        <v>67</v>
      </c>
      <c r="I3" t="s">
        <v>68</v>
      </c>
      <c r="J3" t="s">
        <v>69</v>
      </c>
      <c r="K3" t="s">
        <v>70</v>
      </c>
      <c r="L3" t="s">
        <v>71</v>
      </c>
      <c r="M3" t="s">
        <v>72</v>
      </c>
      <c r="N3" t="s">
        <v>73</v>
      </c>
      <c r="O3" t="s">
        <v>74</v>
      </c>
      <c r="P3" t="s">
        <v>75</v>
      </c>
      <c r="Q3" t="s">
        <v>76</v>
      </c>
      <c r="R3" t="s">
        <v>77</v>
      </c>
      <c r="S3" t="s">
        <v>78</v>
      </c>
      <c r="T3" t="s">
        <v>53</v>
      </c>
      <c r="U3" t="s">
        <v>90</v>
      </c>
      <c r="V3" t="s">
        <v>83</v>
      </c>
      <c r="W3" t="s">
        <v>89</v>
      </c>
      <c r="X3" t="s">
        <v>92</v>
      </c>
    </row>
    <row r="4" spans="1:24" x14ac:dyDescent="0.25">
      <c r="A4" s="11" t="s">
        <v>26</v>
      </c>
      <c r="B4" s="24">
        <v>81135</v>
      </c>
      <c r="C4" s="24">
        <v>62626</v>
      </c>
      <c r="D4" s="24">
        <v>18509</v>
      </c>
      <c r="E4" s="24">
        <v>1115</v>
      </c>
      <c r="F4" s="24">
        <v>2073</v>
      </c>
      <c r="G4" s="24">
        <v>1661</v>
      </c>
      <c r="H4" s="1">
        <v>0.22</v>
      </c>
      <c r="I4" s="1">
        <v>0.45</v>
      </c>
      <c r="J4" s="1">
        <v>0.22333333333333336</v>
      </c>
      <c r="K4" s="1">
        <v>0.10666666666666658</v>
      </c>
      <c r="L4" s="1">
        <v>0.8</v>
      </c>
      <c r="M4" s="1">
        <v>0.7</v>
      </c>
      <c r="N4" s="1">
        <v>0.7</v>
      </c>
      <c r="O4" s="1">
        <v>0.7</v>
      </c>
      <c r="P4" s="1">
        <v>0.7</v>
      </c>
      <c r="Q4" s="1">
        <v>0.7</v>
      </c>
      <c r="R4" s="1">
        <v>0.7</v>
      </c>
      <c r="S4" s="1">
        <v>0.7</v>
      </c>
      <c r="T4" s="24">
        <v>75000</v>
      </c>
      <c r="U4" s="24">
        <v>1400</v>
      </c>
      <c r="V4" s="24">
        <v>797</v>
      </c>
      <c r="W4" s="24">
        <v>318</v>
      </c>
      <c r="X4" s="1">
        <v>0.8</v>
      </c>
    </row>
    <row r="5" spans="1:24" x14ac:dyDescent="0.25">
      <c r="A5" s="11" t="s">
        <v>28</v>
      </c>
      <c r="B5" s="24">
        <v>73245</v>
      </c>
      <c r="C5" s="24">
        <v>78653</v>
      </c>
      <c r="D5" s="24">
        <v>-5408</v>
      </c>
      <c r="E5" s="24">
        <v>1207</v>
      </c>
      <c r="F5" s="24">
        <v>2908</v>
      </c>
      <c r="G5" s="24">
        <v>1400</v>
      </c>
      <c r="H5" s="1">
        <v>0.08</v>
      </c>
      <c r="I5" s="1">
        <v>0.41</v>
      </c>
      <c r="J5" s="1">
        <v>0.16333333333333333</v>
      </c>
      <c r="K5" s="1">
        <v>0.34666666666666668</v>
      </c>
      <c r="L5" s="1">
        <v>0.8</v>
      </c>
      <c r="M5" s="1">
        <v>0.8</v>
      </c>
      <c r="N5" s="1">
        <v>0.8</v>
      </c>
      <c r="O5" s="1">
        <v>0.7</v>
      </c>
      <c r="P5" s="1">
        <v>0.7</v>
      </c>
      <c r="Q5" s="1">
        <v>0.7</v>
      </c>
      <c r="R5" s="1">
        <v>0.7</v>
      </c>
      <c r="S5" s="1">
        <v>0.7</v>
      </c>
      <c r="T5" s="24">
        <v>75000</v>
      </c>
      <c r="U5" s="24">
        <v>1400</v>
      </c>
      <c r="V5" s="24">
        <v>882</v>
      </c>
      <c r="W5" s="24">
        <v>325</v>
      </c>
      <c r="X5" s="1">
        <v>0.8</v>
      </c>
    </row>
    <row r="6" spans="1:24" x14ac:dyDescent="0.25">
      <c r="A6" s="11" t="s">
        <v>31</v>
      </c>
      <c r="B6" s="24">
        <v>52221</v>
      </c>
      <c r="C6" s="24">
        <v>58031</v>
      </c>
      <c r="D6" s="24">
        <v>-5810</v>
      </c>
      <c r="E6" s="24">
        <v>1289</v>
      </c>
      <c r="F6" s="24">
        <v>3441</v>
      </c>
      <c r="G6" s="24">
        <v>1997</v>
      </c>
      <c r="H6" s="1">
        <v>0.08</v>
      </c>
      <c r="I6" s="1">
        <v>0.32</v>
      </c>
      <c r="J6" s="1">
        <v>0.13333333333333333</v>
      </c>
      <c r="K6" s="1">
        <v>0.46666666666666667</v>
      </c>
      <c r="L6" s="1">
        <v>0.8</v>
      </c>
      <c r="M6" s="1">
        <v>0.8</v>
      </c>
      <c r="N6" s="1">
        <v>0.8</v>
      </c>
      <c r="O6" s="1">
        <v>0.8</v>
      </c>
      <c r="P6" s="1">
        <v>0.8</v>
      </c>
      <c r="Q6" s="1">
        <v>0.8</v>
      </c>
      <c r="R6" s="1">
        <v>0.7</v>
      </c>
      <c r="S6" s="1">
        <v>0.7</v>
      </c>
      <c r="T6" s="24">
        <v>75000</v>
      </c>
      <c r="U6" s="24">
        <v>1400</v>
      </c>
      <c r="V6" s="24">
        <v>790</v>
      </c>
      <c r="W6" s="24">
        <v>499</v>
      </c>
      <c r="X6" s="1">
        <v>0.8</v>
      </c>
    </row>
    <row r="7" spans="1:24" x14ac:dyDescent="0.25">
      <c r="A7" s="11" t="s">
        <v>50</v>
      </c>
      <c r="B7" s="24">
        <v>206601</v>
      </c>
      <c r="C7" s="24">
        <v>199310</v>
      </c>
      <c r="D7" s="24">
        <v>7291</v>
      </c>
      <c r="E7" s="24">
        <v>3611</v>
      </c>
      <c r="F7" s="24">
        <v>8422</v>
      </c>
      <c r="G7" s="24">
        <v>5058</v>
      </c>
      <c r="H7" s="1">
        <v>0.12666666666666668</v>
      </c>
      <c r="I7" s="1">
        <v>0.39333333333333331</v>
      </c>
      <c r="J7" s="1">
        <v>0.17333333333333334</v>
      </c>
      <c r="K7" s="1">
        <v>0.30666666666666664</v>
      </c>
      <c r="L7" s="1">
        <v>0.80000000000000016</v>
      </c>
      <c r="M7" s="1">
        <v>0.76666666666666661</v>
      </c>
      <c r="N7" s="1">
        <v>0.76666666666666661</v>
      </c>
      <c r="O7" s="1">
        <v>0.73333333333333339</v>
      </c>
      <c r="P7" s="1">
        <v>0.73333333333333339</v>
      </c>
      <c r="Q7" s="1">
        <v>0.73333333333333339</v>
      </c>
      <c r="R7" s="1">
        <v>0.69999999999999984</v>
      </c>
      <c r="S7" s="1">
        <v>0.69999999999999984</v>
      </c>
      <c r="T7" s="24">
        <v>225000</v>
      </c>
      <c r="U7" s="24">
        <v>4200</v>
      </c>
      <c r="V7" s="24">
        <v>2469</v>
      </c>
      <c r="W7" s="24">
        <v>1142</v>
      </c>
      <c r="X7" s="1">
        <v>0.8</v>
      </c>
    </row>
    <row r="20" spans="1:13" x14ac:dyDescent="0.25">
      <c r="A20" s="10" t="s">
        <v>49</v>
      </c>
      <c r="B20" t="s">
        <v>51</v>
      </c>
      <c r="C20" t="s">
        <v>52</v>
      </c>
      <c r="D20" t="s">
        <v>58</v>
      </c>
      <c r="E20" t="s">
        <v>53</v>
      </c>
      <c r="F20" t="s">
        <v>83</v>
      </c>
      <c r="G20" t="s">
        <v>89</v>
      </c>
      <c r="H20" t="s">
        <v>54</v>
      </c>
      <c r="I20" t="s">
        <v>90</v>
      </c>
      <c r="J20" t="s">
        <v>93</v>
      </c>
      <c r="K20" t="s">
        <v>94</v>
      </c>
      <c r="L20" t="s">
        <v>95</v>
      </c>
      <c r="M20" t="s">
        <v>96</v>
      </c>
    </row>
    <row r="21" spans="1:13" x14ac:dyDescent="0.25">
      <c r="A21" s="11" t="s">
        <v>25</v>
      </c>
      <c r="B21" s="24">
        <v>59019</v>
      </c>
      <c r="C21" s="24">
        <v>67541</v>
      </c>
      <c r="D21" s="24">
        <v>-8522</v>
      </c>
      <c r="E21" s="24">
        <v>75000</v>
      </c>
      <c r="F21" s="24">
        <v>538</v>
      </c>
      <c r="G21" s="24">
        <v>510</v>
      </c>
      <c r="H21" s="24">
        <v>1048</v>
      </c>
      <c r="I21" s="24">
        <v>1400</v>
      </c>
      <c r="J21" s="1">
        <v>0.15</v>
      </c>
      <c r="K21" s="1">
        <v>0.33</v>
      </c>
      <c r="L21" s="1">
        <v>0.16</v>
      </c>
      <c r="M21" s="1">
        <v>0.36</v>
      </c>
    </row>
    <row r="22" spans="1:13" x14ac:dyDescent="0.25">
      <c r="A22" s="11" t="s">
        <v>26</v>
      </c>
      <c r="B22" s="24">
        <v>81135</v>
      </c>
      <c r="C22" s="24">
        <v>62626</v>
      </c>
      <c r="D22" s="24">
        <v>18509</v>
      </c>
      <c r="E22" s="24">
        <v>75000</v>
      </c>
      <c r="F22" s="24">
        <v>797</v>
      </c>
      <c r="G22" s="24">
        <v>318</v>
      </c>
      <c r="H22" s="24">
        <v>1115</v>
      </c>
      <c r="I22" s="24">
        <v>1400</v>
      </c>
      <c r="J22" s="1">
        <v>0.22</v>
      </c>
      <c r="K22" s="1">
        <v>0.45</v>
      </c>
      <c r="L22" s="1">
        <v>0.22333333333333336</v>
      </c>
      <c r="M22" s="1">
        <v>0.10666666666666658</v>
      </c>
    </row>
    <row r="23" spans="1:13" x14ac:dyDescent="0.25">
      <c r="A23" s="11" t="s">
        <v>27</v>
      </c>
      <c r="B23" s="24">
        <v>84342</v>
      </c>
      <c r="C23" s="24">
        <v>68752</v>
      </c>
      <c r="D23" s="24">
        <v>15590</v>
      </c>
      <c r="E23" s="24">
        <v>75000</v>
      </c>
      <c r="F23" s="24">
        <v>565</v>
      </c>
      <c r="G23" s="24">
        <v>540</v>
      </c>
      <c r="H23" s="24">
        <v>1105</v>
      </c>
      <c r="I23" s="24">
        <v>1400</v>
      </c>
      <c r="J23" s="1">
        <v>0.17</v>
      </c>
      <c r="K23" s="1">
        <v>0.38</v>
      </c>
      <c r="L23" s="1">
        <v>0.18333333333333335</v>
      </c>
      <c r="M23" s="1">
        <v>0.26666666666666661</v>
      </c>
    </row>
    <row r="24" spans="1:13" x14ac:dyDescent="0.25">
      <c r="A24" s="11" t="s">
        <v>28</v>
      </c>
      <c r="B24" s="24">
        <v>73245</v>
      </c>
      <c r="C24" s="24">
        <v>78653</v>
      </c>
      <c r="D24" s="24">
        <v>-5408</v>
      </c>
      <c r="E24" s="24">
        <v>75000</v>
      </c>
      <c r="F24" s="24">
        <v>882</v>
      </c>
      <c r="G24" s="24">
        <v>325</v>
      </c>
      <c r="H24" s="24">
        <v>1207</v>
      </c>
      <c r="I24" s="24">
        <v>1400</v>
      </c>
      <c r="J24" s="1">
        <v>0.08</v>
      </c>
      <c r="K24" s="1">
        <v>0.41</v>
      </c>
      <c r="L24" s="1">
        <v>0.16333333333333333</v>
      </c>
      <c r="M24" s="1">
        <v>0.34666666666666668</v>
      </c>
    </row>
    <row r="25" spans="1:13" x14ac:dyDescent="0.25">
      <c r="A25" s="11" t="s">
        <v>29</v>
      </c>
      <c r="B25" s="24">
        <v>57139</v>
      </c>
      <c r="C25" s="24">
        <v>73540</v>
      </c>
      <c r="D25" s="24">
        <v>-16401</v>
      </c>
      <c r="E25" s="24">
        <v>75000</v>
      </c>
      <c r="F25" s="24">
        <v>597</v>
      </c>
      <c r="G25" s="24">
        <v>611</v>
      </c>
      <c r="H25" s="24">
        <v>1208</v>
      </c>
      <c r="I25" s="24">
        <v>1400</v>
      </c>
      <c r="J25" s="1">
        <v>0.06</v>
      </c>
      <c r="K25" s="1">
        <v>0.23</v>
      </c>
      <c r="L25" s="1">
        <v>9.6666666666666679E-2</v>
      </c>
      <c r="M25" s="1">
        <v>0.61333333333333329</v>
      </c>
    </row>
    <row r="26" spans="1:13" x14ac:dyDescent="0.25">
      <c r="A26" s="11" t="s">
        <v>30</v>
      </c>
      <c r="B26" s="24">
        <v>44835</v>
      </c>
      <c r="C26" s="24">
        <v>61426</v>
      </c>
      <c r="D26" s="24">
        <v>-16591</v>
      </c>
      <c r="E26" s="24">
        <v>75000</v>
      </c>
      <c r="F26" s="24">
        <v>645</v>
      </c>
      <c r="G26" s="24">
        <v>616</v>
      </c>
      <c r="H26" s="24">
        <v>1261</v>
      </c>
      <c r="I26" s="24">
        <v>1400</v>
      </c>
      <c r="J26" s="1">
        <v>0.09</v>
      </c>
      <c r="K26" s="1">
        <v>0.23</v>
      </c>
      <c r="L26" s="1">
        <v>0.10666666666666667</v>
      </c>
      <c r="M26" s="1">
        <v>0.57333333333333325</v>
      </c>
    </row>
    <row r="27" spans="1:13" x14ac:dyDescent="0.25">
      <c r="A27" s="11" t="s">
        <v>31</v>
      </c>
      <c r="B27" s="24">
        <v>52221</v>
      </c>
      <c r="C27" s="24">
        <v>58031</v>
      </c>
      <c r="D27" s="24">
        <v>-5810</v>
      </c>
      <c r="E27" s="24">
        <v>75000</v>
      </c>
      <c r="F27" s="24">
        <v>790</v>
      </c>
      <c r="G27" s="24">
        <v>499</v>
      </c>
      <c r="H27" s="24">
        <v>1289</v>
      </c>
      <c r="I27" s="24">
        <v>1400</v>
      </c>
      <c r="J27" s="1">
        <v>0.08</v>
      </c>
      <c r="K27" s="1">
        <v>0.32</v>
      </c>
      <c r="L27" s="1">
        <v>0.13333333333333333</v>
      </c>
      <c r="M27" s="1">
        <v>0.46666666666666667</v>
      </c>
    </row>
    <row r="28" spans="1:13" x14ac:dyDescent="0.25">
      <c r="A28" s="11" t="s">
        <v>32</v>
      </c>
      <c r="B28" s="24">
        <v>96718</v>
      </c>
      <c r="C28" s="24">
        <v>65713</v>
      </c>
      <c r="D28" s="24">
        <v>31005</v>
      </c>
      <c r="E28" s="24">
        <v>75000</v>
      </c>
      <c r="F28" s="24">
        <v>996</v>
      </c>
      <c r="G28" s="24">
        <v>431</v>
      </c>
      <c r="H28" s="24">
        <v>1427</v>
      </c>
      <c r="I28" s="24">
        <v>1400</v>
      </c>
      <c r="J28" s="1">
        <v>0.09</v>
      </c>
      <c r="K28" s="1">
        <v>0.24</v>
      </c>
      <c r="L28" s="1">
        <v>0.10999999999999999</v>
      </c>
      <c r="M28" s="1">
        <v>0.56000000000000005</v>
      </c>
    </row>
    <row r="29" spans="1:13" x14ac:dyDescent="0.25">
      <c r="A29" s="11" t="s">
        <v>33</v>
      </c>
      <c r="B29" s="24">
        <v>111028</v>
      </c>
      <c r="C29" s="24">
        <v>80943</v>
      </c>
      <c r="D29" s="24">
        <v>30085</v>
      </c>
      <c r="E29" s="24">
        <v>75000</v>
      </c>
      <c r="F29" s="24">
        <v>1183</v>
      </c>
      <c r="G29" s="24">
        <v>210</v>
      </c>
      <c r="H29" s="24">
        <v>1393</v>
      </c>
      <c r="I29" s="24">
        <v>1400</v>
      </c>
      <c r="J29" s="1">
        <v>0.19</v>
      </c>
      <c r="K29" s="1">
        <v>0.4</v>
      </c>
      <c r="L29" s="1">
        <v>0.19666666666666668</v>
      </c>
      <c r="M29" s="1">
        <v>0.21333333333333326</v>
      </c>
    </row>
    <row r="30" spans="1:13" x14ac:dyDescent="0.25">
      <c r="A30" s="11" t="s">
        <v>34</v>
      </c>
      <c r="B30" s="24">
        <v>105644</v>
      </c>
      <c r="C30" s="24">
        <v>89819</v>
      </c>
      <c r="D30" s="24">
        <v>15825</v>
      </c>
      <c r="E30" s="24">
        <v>75000</v>
      </c>
      <c r="F30" s="24">
        <v>876</v>
      </c>
      <c r="G30" s="24">
        <v>516</v>
      </c>
      <c r="H30" s="24">
        <v>1392</v>
      </c>
      <c r="I30" s="24">
        <v>1400</v>
      </c>
      <c r="J30" s="1">
        <v>0.16</v>
      </c>
      <c r="K30" s="1">
        <v>0.5</v>
      </c>
      <c r="L30" s="1">
        <v>0.22</v>
      </c>
      <c r="M30" s="1">
        <v>0.12</v>
      </c>
    </row>
    <row r="31" spans="1:13" x14ac:dyDescent="0.25">
      <c r="A31" s="11" t="s">
        <v>35</v>
      </c>
      <c r="B31" s="24">
        <v>77026</v>
      </c>
      <c r="C31" s="24">
        <v>85029</v>
      </c>
      <c r="D31" s="24">
        <v>-8003</v>
      </c>
      <c r="E31" s="24">
        <v>75000</v>
      </c>
      <c r="F31" s="24">
        <v>1101</v>
      </c>
      <c r="G31" s="24">
        <v>406</v>
      </c>
      <c r="H31" s="24">
        <v>1507</v>
      </c>
      <c r="I31" s="24">
        <v>1400</v>
      </c>
      <c r="J31" s="1">
        <v>0.24</v>
      </c>
      <c r="K31" s="1">
        <v>0.33</v>
      </c>
      <c r="L31" s="1">
        <v>0.19000000000000003</v>
      </c>
      <c r="M31" s="1">
        <v>0.23999999999999988</v>
      </c>
    </row>
    <row r="32" spans="1:13" x14ac:dyDescent="0.25">
      <c r="A32" s="11" t="s">
        <v>36</v>
      </c>
      <c r="B32" s="24">
        <v>90717</v>
      </c>
      <c r="C32" s="24">
        <v>74016</v>
      </c>
      <c r="D32" s="24">
        <v>16701</v>
      </c>
      <c r="E32" s="24">
        <v>75000</v>
      </c>
      <c r="F32" s="24">
        <v>1269</v>
      </c>
      <c r="G32" s="24">
        <v>197</v>
      </c>
      <c r="H32" s="24">
        <v>1466</v>
      </c>
      <c r="I32" s="24">
        <v>1400</v>
      </c>
      <c r="J32" s="1">
        <v>0.06</v>
      </c>
      <c r="K32" s="1">
        <v>0.3</v>
      </c>
      <c r="L32" s="1">
        <v>0.12</v>
      </c>
      <c r="M32" s="1">
        <v>0.52</v>
      </c>
    </row>
    <row r="33" spans="1:13" x14ac:dyDescent="0.25">
      <c r="A33" s="11" t="s">
        <v>50</v>
      </c>
      <c r="B33" s="24">
        <v>933069</v>
      </c>
      <c r="C33" s="24">
        <v>866089</v>
      </c>
      <c r="D33" s="24">
        <v>66980</v>
      </c>
      <c r="E33" s="24">
        <v>900000</v>
      </c>
      <c r="F33" s="24">
        <v>10239</v>
      </c>
      <c r="G33" s="24">
        <v>5179</v>
      </c>
      <c r="H33" s="24">
        <v>15418</v>
      </c>
      <c r="I33" s="24">
        <v>16800</v>
      </c>
      <c r="J33" s="1">
        <v>1.5899999999999999</v>
      </c>
      <c r="K33" s="1">
        <v>4.12</v>
      </c>
      <c r="L33" s="1">
        <v>1.9033333333333333</v>
      </c>
      <c r="M33" s="1">
        <v>4.3866666666666667</v>
      </c>
    </row>
    <row r="35" spans="1:13" x14ac:dyDescent="0.25">
      <c r="A35" s="10" t="s">
        <v>49</v>
      </c>
      <c r="B35" t="s">
        <v>54</v>
      </c>
    </row>
    <row r="36" spans="1:13" x14ac:dyDescent="0.25">
      <c r="A36" s="11">
        <v>2027</v>
      </c>
      <c r="B36" s="24">
        <v>3611</v>
      </c>
    </row>
    <row r="37" spans="1:13" x14ac:dyDescent="0.25">
      <c r="A37" s="11" t="s">
        <v>50</v>
      </c>
      <c r="B37" s="24">
        <v>3611</v>
      </c>
    </row>
    <row r="42" spans="1:13" x14ac:dyDescent="0.25">
      <c r="A42" s="10" t="s">
        <v>49</v>
      </c>
      <c r="B42" t="s">
        <v>54</v>
      </c>
    </row>
    <row r="43" spans="1:13" x14ac:dyDescent="0.25">
      <c r="A43" s="11">
        <v>2025</v>
      </c>
      <c r="B43">
        <v>3873</v>
      </c>
    </row>
    <row r="44" spans="1:13" x14ac:dyDescent="0.25">
      <c r="A44" s="11">
        <v>2026</v>
      </c>
      <c r="B44">
        <v>9235</v>
      </c>
    </row>
    <row r="45" spans="1:13" x14ac:dyDescent="0.25">
      <c r="A45" s="11">
        <v>2027</v>
      </c>
      <c r="B45">
        <v>15418</v>
      </c>
    </row>
    <row r="46" spans="1:13" x14ac:dyDescent="0.25">
      <c r="A46" s="11">
        <v>2028</v>
      </c>
      <c r="B46">
        <v>21089</v>
      </c>
    </row>
    <row r="47" spans="1:13" x14ac:dyDescent="0.25">
      <c r="A47" s="11" t="s">
        <v>50</v>
      </c>
      <c r="B47">
        <v>49615</v>
      </c>
    </row>
    <row r="50" spans="1:1" x14ac:dyDescent="0.25">
      <c r="A50" s="10" t="s">
        <v>49</v>
      </c>
    </row>
    <row r="51" spans="1:1" x14ac:dyDescent="0.25">
      <c r="A51" s="11" t="s">
        <v>38</v>
      </c>
    </row>
    <row r="52" spans="1:1" x14ac:dyDescent="0.25">
      <c r="A52" s="11" t="s">
        <v>39</v>
      </c>
    </row>
    <row r="53" spans="1:1" x14ac:dyDescent="0.25">
      <c r="A53" s="11" t="s">
        <v>37</v>
      </c>
    </row>
    <row r="54" spans="1:1" x14ac:dyDescent="0.25">
      <c r="A54" s="11" t="s">
        <v>50</v>
      </c>
    </row>
    <row r="57" spans="1:1" x14ac:dyDescent="0.25">
      <c r="A57" s="10" t="s">
        <v>49</v>
      </c>
    </row>
    <row r="58" spans="1:1" x14ac:dyDescent="0.25">
      <c r="A58" s="11" t="s">
        <v>82</v>
      </c>
    </row>
    <row r="59" spans="1:1" x14ac:dyDescent="0.25">
      <c r="A59" s="11" t="s">
        <v>88</v>
      </c>
    </row>
    <row r="60" spans="1:1" x14ac:dyDescent="0.25">
      <c r="A60" s="11" t="s">
        <v>50</v>
      </c>
    </row>
    <row r="62" spans="1:1" x14ac:dyDescent="0.25">
      <c r="A62" s="10" t="s">
        <v>49</v>
      </c>
    </row>
    <row r="63" spans="1:1" x14ac:dyDescent="0.25">
      <c r="A63" s="11" t="s">
        <v>1</v>
      </c>
    </row>
    <row r="64" spans="1:1" x14ac:dyDescent="0.25">
      <c r="A64" s="11" t="s">
        <v>50</v>
      </c>
    </row>
  </sheetData>
  <mergeCells count="1">
    <mergeCell ref="A1:F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9C639-DB6B-41AF-A717-8CB3438015F2}">
  <sheetPr codeName="Sheet8"/>
  <dimension ref="A1:AE49"/>
  <sheetViews>
    <sheetView topLeftCell="I1" workbookViewId="0">
      <selection activeCell="Z1" sqref="Z1:AE2"/>
    </sheetView>
  </sheetViews>
  <sheetFormatPr defaultRowHeight="15" x14ac:dyDescent="0.25"/>
  <cols>
    <col min="3" max="3" width="9.85546875" customWidth="1"/>
    <col min="4" max="4" width="10.7109375" customWidth="1"/>
    <col min="5" max="8" width="12.85546875" style="3" customWidth="1"/>
    <col min="9" max="9" width="18.28515625" style="3" customWidth="1"/>
    <col min="10" max="11" width="8.85546875" style="3"/>
    <col min="12" max="12" width="9.42578125" customWidth="1"/>
    <col min="14" max="14" width="9.28515625" style="3" customWidth="1"/>
    <col min="24" max="24" width="17" customWidth="1"/>
  </cols>
  <sheetData>
    <row r="1" spans="1:31" x14ac:dyDescent="0.25">
      <c r="A1" s="7" t="s">
        <v>44</v>
      </c>
      <c r="B1" s="8" t="s">
        <v>24</v>
      </c>
      <c r="C1" s="5" t="s">
        <v>37</v>
      </c>
      <c r="D1" s="5" t="s">
        <v>38</v>
      </c>
      <c r="E1" s="5" t="s">
        <v>45</v>
      </c>
      <c r="F1" s="5" t="s">
        <v>82</v>
      </c>
      <c r="G1" s="5" t="s">
        <v>88</v>
      </c>
      <c r="H1" s="5" t="s">
        <v>43</v>
      </c>
      <c r="I1" s="5" t="s">
        <v>46</v>
      </c>
      <c r="J1" s="5" t="s">
        <v>47</v>
      </c>
      <c r="K1" s="5" t="s">
        <v>48</v>
      </c>
      <c r="L1" s="5" t="s">
        <v>0</v>
      </c>
      <c r="M1" s="5" t="s">
        <v>1</v>
      </c>
      <c r="N1" s="5" t="s">
        <v>2</v>
      </c>
      <c r="O1" s="5" t="s">
        <v>3</v>
      </c>
      <c r="P1" s="5" t="s">
        <v>7</v>
      </c>
      <c r="Q1" s="5" t="s">
        <v>9</v>
      </c>
      <c r="R1" s="5" t="s">
        <v>10</v>
      </c>
      <c r="S1" s="5" t="s">
        <v>13</v>
      </c>
      <c r="T1" s="5" t="s">
        <v>15</v>
      </c>
      <c r="U1" s="5" t="s">
        <v>17</v>
      </c>
      <c r="V1" s="5" t="s">
        <v>19</v>
      </c>
      <c r="W1" s="5" t="s">
        <v>20</v>
      </c>
      <c r="X1" s="5" t="s">
        <v>91</v>
      </c>
      <c r="Z1" s="23"/>
      <c r="AA1" s="23"/>
      <c r="AB1" s="23"/>
      <c r="AC1" s="23"/>
      <c r="AD1" s="23"/>
      <c r="AE1" s="23"/>
    </row>
    <row r="2" spans="1:31" x14ac:dyDescent="0.25">
      <c r="A2" s="3">
        <v>2025</v>
      </c>
      <c r="B2" s="3" t="s">
        <v>25</v>
      </c>
      <c r="C2">
        <v>37835</v>
      </c>
      <c r="D2">
        <v>26660</v>
      </c>
      <c r="E2" s="3">
        <v>45000</v>
      </c>
      <c r="F2" s="3">
        <v>59</v>
      </c>
      <c r="G2" s="3">
        <v>41</v>
      </c>
      <c r="H2" s="3">
        <v>100</v>
      </c>
      <c r="I2" s="3">
        <v>300</v>
      </c>
      <c r="J2" s="3">
        <v>158</v>
      </c>
      <c r="K2" s="3">
        <v>138</v>
      </c>
      <c r="L2" s="9">
        <v>0.17</v>
      </c>
      <c r="M2" s="9">
        <v>0.48</v>
      </c>
      <c r="N2" s="2">
        <v>0.21666666666666667</v>
      </c>
      <c r="O2" s="2">
        <v>0.1333333333333333</v>
      </c>
      <c r="P2" s="9">
        <v>0.2</v>
      </c>
      <c r="Q2" s="9">
        <v>0.2</v>
      </c>
      <c r="R2" s="9">
        <v>0.2</v>
      </c>
      <c r="S2" s="9">
        <v>0.2</v>
      </c>
      <c r="T2" s="9">
        <v>0.2</v>
      </c>
      <c r="U2" s="9">
        <v>0.2</v>
      </c>
      <c r="V2" s="9">
        <v>0.2</v>
      </c>
      <c r="W2" s="9">
        <v>0.1</v>
      </c>
      <c r="X2" s="9">
        <v>0.5</v>
      </c>
      <c r="Z2" s="23"/>
      <c r="AA2" s="23"/>
      <c r="AB2" s="23"/>
      <c r="AC2" s="23"/>
      <c r="AD2" s="23"/>
      <c r="AE2" s="23"/>
    </row>
    <row r="3" spans="1:31" x14ac:dyDescent="0.25">
      <c r="A3" s="3">
        <v>2025</v>
      </c>
      <c r="B3" s="3" t="s">
        <v>26</v>
      </c>
      <c r="C3">
        <v>48805</v>
      </c>
      <c r="D3">
        <v>32060</v>
      </c>
      <c r="E3" s="3">
        <v>45000</v>
      </c>
      <c r="F3" s="3">
        <v>68</v>
      </c>
      <c r="G3" s="3">
        <v>67</v>
      </c>
      <c r="H3" s="3">
        <v>135</v>
      </c>
      <c r="I3" s="3">
        <v>300</v>
      </c>
      <c r="J3" s="3">
        <v>193</v>
      </c>
      <c r="K3" s="3">
        <v>193</v>
      </c>
      <c r="L3" s="9">
        <v>0.1</v>
      </c>
      <c r="M3" s="9">
        <v>0.31</v>
      </c>
      <c r="N3" s="2">
        <v>0.13666666666666669</v>
      </c>
      <c r="O3" s="2">
        <v>0.45333333333333325</v>
      </c>
      <c r="P3" s="9">
        <v>0.4</v>
      </c>
      <c r="Q3" s="9">
        <v>0.2</v>
      </c>
      <c r="R3" s="9">
        <v>0.2</v>
      </c>
      <c r="S3" s="9">
        <v>0.2</v>
      </c>
      <c r="T3" s="9">
        <v>0.2</v>
      </c>
      <c r="U3" s="9">
        <v>0.2</v>
      </c>
      <c r="V3" s="9">
        <v>0.2</v>
      </c>
      <c r="W3" s="9">
        <v>0.2</v>
      </c>
      <c r="X3" s="9">
        <v>0.5</v>
      </c>
    </row>
    <row r="4" spans="1:31" x14ac:dyDescent="0.25">
      <c r="A4" s="3">
        <v>2025</v>
      </c>
      <c r="B4" s="3" t="s">
        <v>27</v>
      </c>
      <c r="C4">
        <v>52169</v>
      </c>
      <c r="D4">
        <v>35760</v>
      </c>
      <c r="E4" s="3">
        <v>45000</v>
      </c>
      <c r="F4" s="3">
        <v>165</v>
      </c>
      <c r="G4" s="3">
        <v>42</v>
      </c>
      <c r="H4" s="3">
        <v>207</v>
      </c>
      <c r="I4" s="3">
        <v>300</v>
      </c>
      <c r="J4" s="3">
        <v>602</v>
      </c>
      <c r="K4" s="3">
        <v>335</v>
      </c>
      <c r="L4" s="9">
        <v>0.08</v>
      </c>
      <c r="M4" s="9">
        <v>0.37</v>
      </c>
      <c r="N4" s="2">
        <v>0.15</v>
      </c>
      <c r="O4" s="2">
        <v>0.4</v>
      </c>
      <c r="P4" s="9">
        <v>0.4</v>
      </c>
      <c r="Q4" s="9">
        <v>0.4</v>
      </c>
      <c r="R4" s="9">
        <v>0.2</v>
      </c>
      <c r="S4" s="9">
        <v>0.2</v>
      </c>
      <c r="T4" s="9">
        <v>0.2</v>
      </c>
      <c r="U4" s="9">
        <v>0.2</v>
      </c>
      <c r="V4" s="9">
        <v>0.2</v>
      </c>
      <c r="W4" s="9">
        <v>0.2</v>
      </c>
      <c r="X4" s="9">
        <v>0.5</v>
      </c>
    </row>
    <row r="5" spans="1:31" x14ac:dyDescent="0.25">
      <c r="A5" s="3">
        <v>2025</v>
      </c>
      <c r="B5" s="3" t="s">
        <v>28</v>
      </c>
      <c r="C5">
        <v>47883</v>
      </c>
      <c r="D5">
        <v>36560</v>
      </c>
      <c r="E5" s="3">
        <v>45000</v>
      </c>
      <c r="F5" s="3">
        <v>151</v>
      </c>
      <c r="G5" s="3">
        <v>131</v>
      </c>
      <c r="H5" s="3">
        <v>282</v>
      </c>
      <c r="I5" s="3">
        <v>300</v>
      </c>
      <c r="J5" s="3">
        <v>569</v>
      </c>
      <c r="K5" s="3">
        <v>386</v>
      </c>
      <c r="L5" s="9">
        <v>0.24</v>
      </c>
      <c r="M5" s="9">
        <v>0.33</v>
      </c>
      <c r="N5" s="2">
        <v>0.19000000000000003</v>
      </c>
      <c r="O5" s="2">
        <v>0.23999999999999988</v>
      </c>
      <c r="P5" s="9">
        <v>0.4</v>
      </c>
      <c r="Q5" s="9">
        <v>0.4</v>
      </c>
      <c r="R5" s="9">
        <v>0.4</v>
      </c>
      <c r="S5" s="9">
        <v>0.2</v>
      </c>
      <c r="T5" s="9">
        <v>0.2</v>
      </c>
      <c r="U5" s="9">
        <v>0.2</v>
      </c>
      <c r="V5" s="9">
        <v>0.2</v>
      </c>
      <c r="W5" s="9">
        <v>0.2</v>
      </c>
      <c r="X5" s="9">
        <v>0.5</v>
      </c>
    </row>
    <row r="6" spans="1:31" x14ac:dyDescent="0.25">
      <c r="A6" s="3">
        <v>2025</v>
      </c>
      <c r="B6" s="3" t="s">
        <v>29</v>
      </c>
      <c r="C6">
        <v>39309</v>
      </c>
      <c r="D6">
        <v>34220</v>
      </c>
      <c r="E6" s="3">
        <v>45000</v>
      </c>
      <c r="F6" s="3">
        <v>117</v>
      </c>
      <c r="G6" s="3">
        <v>53</v>
      </c>
      <c r="H6" s="3">
        <v>170</v>
      </c>
      <c r="I6" s="3">
        <v>300</v>
      </c>
      <c r="J6" s="3">
        <v>336</v>
      </c>
      <c r="K6" s="3">
        <v>210</v>
      </c>
      <c r="L6" s="9">
        <v>0.08</v>
      </c>
      <c r="M6" s="9">
        <v>0.4</v>
      </c>
      <c r="N6" s="2">
        <v>0.16</v>
      </c>
      <c r="O6" s="2">
        <v>0.36</v>
      </c>
      <c r="P6" s="9">
        <v>0.4</v>
      </c>
      <c r="Q6" s="9">
        <v>0.4</v>
      </c>
      <c r="R6" s="9">
        <v>0.4</v>
      </c>
      <c r="S6" s="9">
        <v>0.4</v>
      </c>
      <c r="T6" s="9">
        <v>0.2</v>
      </c>
      <c r="U6" s="9">
        <v>0.2</v>
      </c>
      <c r="V6" s="9">
        <v>0.2</v>
      </c>
      <c r="W6" s="9">
        <v>0.2</v>
      </c>
      <c r="X6" s="9">
        <v>0.5</v>
      </c>
    </row>
    <row r="7" spans="1:31" x14ac:dyDescent="0.25">
      <c r="A7" s="3">
        <v>2025</v>
      </c>
      <c r="B7" s="3" t="s">
        <v>30</v>
      </c>
      <c r="C7">
        <v>31455</v>
      </c>
      <c r="D7">
        <v>29500</v>
      </c>
      <c r="E7" s="3">
        <v>45000</v>
      </c>
      <c r="F7" s="3">
        <v>230</v>
      </c>
      <c r="G7" s="3">
        <v>63</v>
      </c>
      <c r="H7" s="3">
        <v>293</v>
      </c>
      <c r="I7" s="3">
        <v>300</v>
      </c>
      <c r="J7" s="3">
        <v>471</v>
      </c>
      <c r="K7" s="3">
        <v>345</v>
      </c>
      <c r="L7" s="9">
        <v>0.14000000000000001</v>
      </c>
      <c r="M7" s="9">
        <v>0.39</v>
      </c>
      <c r="N7" s="2">
        <v>0.17666666666666667</v>
      </c>
      <c r="O7" s="2">
        <v>0.29333333333333333</v>
      </c>
      <c r="P7" s="9">
        <v>0.4</v>
      </c>
      <c r="Q7" s="9">
        <v>0.4</v>
      </c>
      <c r="R7" s="9">
        <v>0.4</v>
      </c>
      <c r="S7" s="9">
        <v>0.4</v>
      </c>
      <c r="T7" s="9">
        <v>0.4</v>
      </c>
      <c r="U7" s="9">
        <v>0.2</v>
      </c>
      <c r="V7" s="9">
        <v>0.2</v>
      </c>
      <c r="W7" s="9">
        <v>0.2</v>
      </c>
      <c r="X7" s="9">
        <v>0.5</v>
      </c>
    </row>
    <row r="8" spans="1:31" x14ac:dyDescent="0.25">
      <c r="A8" s="3">
        <v>2025</v>
      </c>
      <c r="B8" s="3" t="s">
        <v>31</v>
      </c>
      <c r="C8">
        <v>31175</v>
      </c>
      <c r="D8">
        <v>23820</v>
      </c>
      <c r="E8" s="3">
        <v>45000</v>
      </c>
      <c r="F8" s="3">
        <v>270</v>
      </c>
      <c r="G8" s="3">
        <v>136</v>
      </c>
      <c r="H8" s="3">
        <v>406</v>
      </c>
      <c r="I8" s="3">
        <v>300</v>
      </c>
      <c r="J8" s="3">
        <v>840</v>
      </c>
      <c r="K8" s="3">
        <v>604</v>
      </c>
      <c r="L8" s="9">
        <v>0.19</v>
      </c>
      <c r="M8" s="9">
        <v>0.28000000000000003</v>
      </c>
      <c r="N8" s="2">
        <v>0.15666666666666668</v>
      </c>
      <c r="O8" s="2">
        <v>0.37333333333333329</v>
      </c>
      <c r="P8" s="9">
        <v>0.4</v>
      </c>
      <c r="Q8" s="9">
        <v>0.4</v>
      </c>
      <c r="R8" s="9">
        <v>0.4</v>
      </c>
      <c r="S8" s="9">
        <v>0.4</v>
      </c>
      <c r="T8" s="9">
        <v>0.4</v>
      </c>
      <c r="U8" s="9">
        <v>0.4</v>
      </c>
      <c r="V8" s="9">
        <v>0.2</v>
      </c>
      <c r="W8" s="9">
        <v>0.2</v>
      </c>
      <c r="X8" s="9">
        <v>0.5</v>
      </c>
    </row>
    <row r="9" spans="1:31" x14ac:dyDescent="0.25">
      <c r="A9" s="3">
        <v>2025</v>
      </c>
      <c r="B9" s="3" t="s">
        <v>32</v>
      </c>
      <c r="C9">
        <v>43810</v>
      </c>
      <c r="D9">
        <v>19100</v>
      </c>
      <c r="E9" s="3">
        <v>45000</v>
      </c>
      <c r="F9" s="3">
        <v>318</v>
      </c>
      <c r="G9" s="3">
        <v>96</v>
      </c>
      <c r="H9" s="3">
        <v>414</v>
      </c>
      <c r="I9" s="3">
        <v>300</v>
      </c>
      <c r="J9" s="3">
        <v>1010</v>
      </c>
      <c r="K9" s="3">
        <v>554</v>
      </c>
      <c r="L9" s="9">
        <v>0.14000000000000001</v>
      </c>
      <c r="M9" s="9">
        <v>0.39</v>
      </c>
      <c r="N9" s="2">
        <v>0.17666666666666667</v>
      </c>
      <c r="O9" s="2">
        <v>0.29333333333333333</v>
      </c>
      <c r="P9" s="9">
        <v>0.4</v>
      </c>
      <c r="Q9" s="9">
        <v>0.4</v>
      </c>
      <c r="R9" s="9">
        <v>0.4</v>
      </c>
      <c r="S9" s="9">
        <v>0.4</v>
      </c>
      <c r="T9" s="9">
        <v>0.4</v>
      </c>
      <c r="U9" s="9">
        <v>0.4</v>
      </c>
      <c r="V9" s="9">
        <v>0.4</v>
      </c>
      <c r="W9" s="9">
        <v>0.2</v>
      </c>
      <c r="X9" s="9">
        <v>0.5</v>
      </c>
    </row>
    <row r="10" spans="1:31" x14ac:dyDescent="0.25">
      <c r="A10" s="3">
        <v>2025</v>
      </c>
      <c r="B10" s="3" t="s">
        <v>33</v>
      </c>
      <c r="C10">
        <v>50097</v>
      </c>
      <c r="D10">
        <v>16760</v>
      </c>
      <c r="E10" s="3">
        <v>45000</v>
      </c>
      <c r="F10" s="3">
        <v>352</v>
      </c>
      <c r="G10" s="3">
        <v>53</v>
      </c>
      <c r="H10" s="3">
        <v>405</v>
      </c>
      <c r="I10" s="3">
        <v>300</v>
      </c>
      <c r="J10" s="3">
        <v>599</v>
      </c>
      <c r="K10" s="3">
        <v>542</v>
      </c>
      <c r="L10" s="9">
        <v>0.19</v>
      </c>
      <c r="M10" s="9">
        <v>0.24</v>
      </c>
      <c r="N10" s="2">
        <v>0.14333333333333334</v>
      </c>
      <c r="O10" s="2">
        <v>0.42666666666666664</v>
      </c>
      <c r="P10" s="9">
        <v>0.4</v>
      </c>
      <c r="Q10" s="9">
        <v>0.4</v>
      </c>
      <c r="R10" s="9">
        <v>0.4</v>
      </c>
      <c r="S10" s="9">
        <v>0.4</v>
      </c>
      <c r="T10" s="9">
        <v>0.4</v>
      </c>
      <c r="U10" s="9">
        <v>0.4</v>
      </c>
      <c r="V10" s="9">
        <v>0.4</v>
      </c>
      <c r="W10" s="9">
        <v>0.4</v>
      </c>
      <c r="X10" s="9">
        <v>0.5</v>
      </c>
    </row>
    <row r="11" spans="1:31" x14ac:dyDescent="0.25">
      <c r="A11" s="3">
        <v>2025</v>
      </c>
      <c r="B11" s="3" t="s">
        <v>34</v>
      </c>
      <c r="C11">
        <v>50762</v>
      </c>
      <c r="D11">
        <v>17560</v>
      </c>
      <c r="E11" s="3">
        <v>45000</v>
      </c>
      <c r="F11" s="3">
        <v>323</v>
      </c>
      <c r="G11" s="3">
        <v>163</v>
      </c>
      <c r="H11" s="3">
        <v>486</v>
      </c>
      <c r="I11" s="3">
        <v>300</v>
      </c>
      <c r="J11" s="3">
        <v>763</v>
      </c>
      <c r="K11" s="3">
        <v>568</v>
      </c>
      <c r="L11" s="9">
        <v>0.17</v>
      </c>
      <c r="M11" s="9">
        <v>0.22</v>
      </c>
      <c r="N11" s="2">
        <v>0.13</v>
      </c>
      <c r="O11" s="2">
        <v>0.48</v>
      </c>
      <c r="P11" s="9">
        <v>0.55000000000000004</v>
      </c>
      <c r="Q11" s="9">
        <v>0.4</v>
      </c>
      <c r="R11" s="9">
        <v>0.4</v>
      </c>
      <c r="S11" s="9">
        <v>0.4</v>
      </c>
      <c r="T11" s="9">
        <v>0.4</v>
      </c>
      <c r="U11" s="9">
        <v>0.4</v>
      </c>
      <c r="V11" s="9">
        <v>0.4</v>
      </c>
      <c r="W11" s="9">
        <v>0.4</v>
      </c>
      <c r="X11" s="9">
        <v>0.5</v>
      </c>
    </row>
    <row r="12" spans="1:31" x14ac:dyDescent="0.25">
      <c r="A12" s="3">
        <v>2025</v>
      </c>
      <c r="B12" s="3" t="s">
        <v>35</v>
      </c>
      <c r="C12">
        <v>45773</v>
      </c>
      <c r="D12">
        <v>21260</v>
      </c>
      <c r="E12" s="3">
        <v>45000</v>
      </c>
      <c r="F12" s="3">
        <v>284</v>
      </c>
      <c r="G12" s="3">
        <v>165</v>
      </c>
      <c r="H12" s="3">
        <v>449</v>
      </c>
      <c r="I12" s="3">
        <v>300</v>
      </c>
      <c r="J12" s="3">
        <v>1279</v>
      </c>
      <c r="K12" s="3">
        <v>682</v>
      </c>
      <c r="L12" s="9">
        <v>0.17</v>
      </c>
      <c r="M12" s="9">
        <v>0.26</v>
      </c>
      <c r="N12" s="2">
        <v>0.14333333333333334</v>
      </c>
      <c r="O12" s="2">
        <v>0.42666666666666664</v>
      </c>
      <c r="P12" s="9">
        <v>0.55000000000000004</v>
      </c>
      <c r="Q12" s="9">
        <v>0.55000000000000004</v>
      </c>
      <c r="R12" s="9">
        <v>0.4</v>
      </c>
      <c r="S12" s="9">
        <v>0.4</v>
      </c>
      <c r="T12" s="9">
        <v>0.4</v>
      </c>
      <c r="U12" s="9">
        <v>0.4</v>
      </c>
      <c r="V12" s="9">
        <v>0.4</v>
      </c>
      <c r="W12" s="9">
        <v>0.4</v>
      </c>
      <c r="X12" s="9">
        <v>0.5</v>
      </c>
    </row>
    <row r="13" spans="1:31" x14ac:dyDescent="0.25">
      <c r="A13" s="3">
        <v>2025</v>
      </c>
      <c r="B13" s="3" t="s">
        <v>36</v>
      </c>
      <c r="C13">
        <v>46402</v>
      </c>
      <c r="D13">
        <v>26660</v>
      </c>
      <c r="E13" s="3">
        <v>45000</v>
      </c>
      <c r="F13" s="3">
        <v>235</v>
      </c>
      <c r="G13" s="3">
        <v>291</v>
      </c>
      <c r="H13" s="3">
        <v>526</v>
      </c>
      <c r="I13" s="3">
        <v>300</v>
      </c>
      <c r="J13" s="3">
        <v>878</v>
      </c>
      <c r="K13" s="3">
        <v>552</v>
      </c>
      <c r="L13" s="9">
        <v>0.21</v>
      </c>
      <c r="M13" s="9">
        <v>0.45</v>
      </c>
      <c r="N13" s="2">
        <v>0.22</v>
      </c>
      <c r="O13" s="2">
        <v>0.12</v>
      </c>
      <c r="P13" s="9">
        <v>0.55000000000000004</v>
      </c>
      <c r="Q13" s="9">
        <v>0.55000000000000004</v>
      </c>
      <c r="R13" s="9">
        <v>0.55000000000000004</v>
      </c>
      <c r="S13" s="9">
        <v>0.4</v>
      </c>
      <c r="T13" s="9">
        <v>0.4</v>
      </c>
      <c r="U13" s="9">
        <v>0.4</v>
      </c>
      <c r="V13" s="9">
        <v>0.4</v>
      </c>
      <c r="W13" s="9">
        <v>0.4</v>
      </c>
      <c r="X13" s="9">
        <v>0.5</v>
      </c>
    </row>
    <row r="14" spans="1:31" x14ac:dyDescent="0.25">
      <c r="A14" s="3">
        <v>2026</v>
      </c>
      <c r="B14" s="3" t="s">
        <v>25</v>
      </c>
      <c r="C14">
        <v>63206</v>
      </c>
      <c r="D14">
        <v>39690</v>
      </c>
      <c r="E14" s="3">
        <v>65000</v>
      </c>
      <c r="F14" s="3">
        <v>367</v>
      </c>
      <c r="G14" s="3">
        <v>228</v>
      </c>
      <c r="H14" s="3">
        <v>595</v>
      </c>
      <c r="I14" s="3">
        <v>900</v>
      </c>
      <c r="J14" s="3">
        <v>1654</v>
      </c>
      <c r="K14" s="3">
        <v>1029</v>
      </c>
      <c r="L14" s="9">
        <v>0.24</v>
      </c>
      <c r="M14" s="9">
        <v>0.31</v>
      </c>
      <c r="N14" s="2">
        <v>0.18333333333333335</v>
      </c>
      <c r="O14" s="2">
        <v>0.26666666666666661</v>
      </c>
      <c r="P14" s="9">
        <v>0.55000000000000004</v>
      </c>
      <c r="Q14" s="9">
        <v>0.55000000000000004</v>
      </c>
      <c r="R14" s="9">
        <v>0.55000000000000004</v>
      </c>
      <c r="S14" s="9">
        <v>0.55000000000000004</v>
      </c>
      <c r="T14" s="9">
        <v>0.4</v>
      </c>
      <c r="U14" s="9">
        <v>0.4</v>
      </c>
      <c r="V14" s="9">
        <v>0.4</v>
      </c>
      <c r="W14" s="9">
        <v>0.4</v>
      </c>
      <c r="X14" s="9">
        <v>0.7</v>
      </c>
    </row>
    <row r="15" spans="1:31" x14ac:dyDescent="0.25">
      <c r="A15" s="3">
        <v>2026</v>
      </c>
      <c r="B15" s="3" t="s">
        <v>26</v>
      </c>
      <c r="C15">
        <v>79277</v>
      </c>
      <c r="D15">
        <v>49690</v>
      </c>
      <c r="E15" s="3">
        <v>65000</v>
      </c>
      <c r="F15" s="3">
        <v>338</v>
      </c>
      <c r="G15" s="3">
        <v>211</v>
      </c>
      <c r="H15" s="3">
        <v>549</v>
      </c>
      <c r="I15" s="3">
        <v>900</v>
      </c>
      <c r="J15" s="3">
        <v>1603</v>
      </c>
      <c r="K15" s="3">
        <v>966</v>
      </c>
      <c r="L15" s="9">
        <v>0.14000000000000001</v>
      </c>
      <c r="M15" s="9">
        <v>0.41</v>
      </c>
      <c r="N15" s="2">
        <v>0.18333333333333335</v>
      </c>
      <c r="O15" s="2">
        <v>0.26666666666666661</v>
      </c>
      <c r="P15" s="9">
        <v>0.55000000000000004</v>
      </c>
      <c r="Q15" s="9">
        <v>0.55000000000000004</v>
      </c>
      <c r="R15" s="9">
        <v>0.55000000000000004</v>
      </c>
      <c r="S15" s="9">
        <v>0.55000000000000004</v>
      </c>
      <c r="T15" s="9">
        <v>0.55000000000000004</v>
      </c>
      <c r="U15" s="9">
        <v>0.4</v>
      </c>
      <c r="V15" s="9">
        <v>0.4</v>
      </c>
      <c r="W15" s="9">
        <v>0.4</v>
      </c>
      <c r="X15" s="9">
        <v>0.7</v>
      </c>
    </row>
    <row r="16" spans="1:31" x14ac:dyDescent="0.25">
      <c r="A16" s="3">
        <v>2026</v>
      </c>
      <c r="B16" s="3" t="s">
        <v>27</v>
      </c>
      <c r="C16">
        <v>82217</v>
      </c>
      <c r="D16">
        <v>50270</v>
      </c>
      <c r="E16" s="3">
        <v>65000</v>
      </c>
      <c r="F16" s="3">
        <v>397</v>
      </c>
      <c r="G16" s="3">
        <v>200</v>
      </c>
      <c r="H16" s="3">
        <v>597</v>
      </c>
      <c r="I16" s="3">
        <v>900</v>
      </c>
      <c r="J16" s="3">
        <v>1259</v>
      </c>
      <c r="K16" s="3">
        <v>1026</v>
      </c>
      <c r="L16" s="9">
        <v>0.19</v>
      </c>
      <c r="M16" s="9">
        <v>0.47</v>
      </c>
      <c r="N16" s="2">
        <v>0.21999999999999997</v>
      </c>
      <c r="O16" s="2">
        <v>0.12000000000000011</v>
      </c>
      <c r="P16" s="9">
        <v>0.55000000000000004</v>
      </c>
      <c r="Q16" s="9">
        <v>0.55000000000000004</v>
      </c>
      <c r="R16" s="9">
        <v>0.55000000000000004</v>
      </c>
      <c r="S16" s="9">
        <v>0.55000000000000004</v>
      </c>
      <c r="T16" s="9">
        <v>0.55000000000000004</v>
      </c>
      <c r="U16" s="9">
        <v>0.55000000000000004</v>
      </c>
      <c r="V16" s="9">
        <v>0.4</v>
      </c>
      <c r="W16" s="9">
        <v>0.4</v>
      </c>
      <c r="X16" s="9">
        <v>0.7</v>
      </c>
    </row>
    <row r="17" spans="1:24" x14ac:dyDescent="0.25">
      <c r="A17" s="3">
        <v>2026</v>
      </c>
      <c r="B17" s="3" t="s">
        <v>28</v>
      </c>
      <c r="C17">
        <v>74656</v>
      </c>
      <c r="D17">
        <v>47270</v>
      </c>
      <c r="E17" s="3">
        <v>65000</v>
      </c>
      <c r="F17" s="3">
        <v>582</v>
      </c>
      <c r="G17" s="3">
        <v>102</v>
      </c>
      <c r="H17" s="3">
        <v>684</v>
      </c>
      <c r="I17" s="3">
        <v>900</v>
      </c>
      <c r="J17" s="3">
        <v>1128</v>
      </c>
      <c r="K17" s="3">
        <v>875</v>
      </c>
      <c r="L17" s="9">
        <v>7.0000000000000007E-2</v>
      </c>
      <c r="M17" s="9">
        <v>0.46</v>
      </c>
      <c r="N17" s="2">
        <v>0.17666666666666667</v>
      </c>
      <c r="O17" s="2">
        <v>0.29333333333333333</v>
      </c>
      <c r="P17" s="9">
        <v>0.55000000000000004</v>
      </c>
      <c r="Q17" s="9">
        <v>0.55000000000000004</v>
      </c>
      <c r="R17" s="9">
        <v>0.55000000000000004</v>
      </c>
      <c r="S17" s="9">
        <v>0.55000000000000004</v>
      </c>
      <c r="T17" s="9">
        <v>0.55000000000000004</v>
      </c>
      <c r="U17" s="9">
        <v>0.55000000000000004</v>
      </c>
      <c r="V17" s="9">
        <v>0.55000000000000004</v>
      </c>
      <c r="W17" s="9">
        <v>0.4</v>
      </c>
      <c r="X17" s="9">
        <v>0.7</v>
      </c>
    </row>
    <row r="18" spans="1:24" x14ac:dyDescent="0.25">
      <c r="A18" s="3">
        <v>2026</v>
      </c>
      <c r="B18" s="3" t="s">
        <v>29</v>
      </c>
      <c r="C18">
        <v>57205</v>
      </c>
      <c r="D18">
        <v>35250</v>
      </c>
      <c r="E18" s="3">
        <v>65000</v>
      </c>
      <c r="F18" s="3">
        <v>588</v>
      </c>
      <c r="G18" s="3">
        <v>118</v>
      </c>
      <c r="H18" s="3">
        <v>706</v>
      </c>
      <c r="I18" s="3">
        <v>900</v>
      </c>
      <c r="J18" s="3">
        <v>1397</v>
      </c>
      <c r="K18" s="3">
        <v>995</v>
      </c>
      <c r="L18" s="9">
        <v>0.1</v>
      </c>
      <c r="M18" s="9">
        <v>0.28999999999999998</v>
      </c>
      <c r="N18" s="2">
        <v>0.13</v>
      </c>
      <c r="O18" s="2">
        <v>0.48</v>
      </c>
      <c r="P18" s="9">
        <v>0.55000000000000004</v>
      </c>
      <c r="Q18" s="9">
        <v>0.55000000000000004</v>
      </c>
      <c r="R18" s="9">
        <v>0.55000000000000004</v>
      </c>
      <c r="S18" s="9">
        <v>0.55000000000000004</v>
      </c>
      <c r="T18" s="9">
        <v>0.55000000000000004</v>
      </c>
      <c r="U18" s="9">
        <v>0.55000000000000004</v>
      </c>
      <c r="V18" s="9">
        <v>0.55000000000000004</v>
      </c>
      <c r="W18" s="9">
        <v>0.55000000000000004</v>
      </c>
      <c r="X18" s="9">
        <v>0.7</v>
      </c>
    </row>
    <row r="19" spans="1:24" x14ac:dyDescent="0.25">
      <c r="A19" s="3">
        <v>2026</v>
      </c>
      <c r="B19" s="3" t="s">
        <v>30</v>
      </c>
      <c r="C19">
        <v>43908</v>
      </c>
      <c r="D19">
        <v>35250</v>
      </c>
      <c r="E19" s="3">
        <v>65000</v>
      </c>
      <c r="F19" s="3">
        <v>406</v>
      </c>
      <c r="G19" s="3">
        <v>362</v>
      </c>
      <c r="H19" s="3">
        <v>768</v>
      </c>
      <c r="I19" s="3">
        <v>900</v>
      </c>
      <c r="J19" s="3">
        <v>906</v>
      </c>
      <c r="K19" s="3">
        <v>829</v>
      </c>
      <c r="L19" s="9">
        <v>0.23</v>
      </c>
      <c r="M19" s="9">
        <v>0.38</v>
      </c>
      <c r="N19" s="2">
        <v>0.20333333333333334</v>
      </c>
      <c r="O19" s="2">
        <v>0.18666666666666665</v>
      </c>
      <c r="P19" s="9">
        <v>0.7</v>
      </c>
      <c r="Q19" s="9">
        <v>0.55000000000000004</v>
      </c>
      <c r="R19" s="9">
        <v>0.55000000000000004</v>
      </c>
      <c r="S19" s="9">
        <v>0.55000000000000004</v>
      </c>
      <c r="T19" s="9">
        <v>0.55000000000000004</v>
      </c>
      <c r="U19" s="9">
        <v>0.55000000000000004</v>
      </c>
      <c r="V19" s="9">
        <v>0.55000000000000004</v>
      </c>
      <c r="W19" s="9">
        <v>0.55000000000000004</v>
      </c>
      <c r="X19" s="9">
        <v>0.7</v>
      </c>
    </row>
    <row r="20" spans="1:24" x14ac:dyDescent="0.25">
      <c r="A20" s="3">
        <v>2026</v>
      </c>
      <c r="B20" s="3" t="s">
        <v>31</v>
      </c>
      <c r="C20">
        <v>43905</v>
      </c>
      <c r="D20">
        <v>44070</v>
      </c>
      <c r="E20" s="3">
        <v>65000</v>
      </c>
      <c r="F20" s="3">
        <v>332</v>
      </c>
      <c r="G20" s="3">
        <v>388</v>
      </c>
      <c r="H20" s="3">
        <v>720</v>
      </c>
      <c r="I20" s="3">
        <v>900</v>
      </c>
      <c r="J20" s="3">
        <v>1929</v>
      </c>
      <c r="K20" s="3">
        <v>770</v>
      </c>
      <c r="L20" s="9">
        <v>0.17</v>
      </c>
      <c r="M20" s="9">
        <v>0.33</v>
      </c>
      <c r="N20" s="2">
        <v>0.16666666666666666</v>
      </c>
      <c r="O20" s="2">
        <v>0.33333333333333337</v>
      </c>
      <c r="P20" s="9">
        <v>0.7</v>
      </c>
      <c r="Q20" s="9">
        <v>0.7</v>
      </c>
      <c r="R20" s="9">
        <v>0.55000000000000004</v>
      </c>
      <c r="S20" s="9">
        <v>0.55000000000000004</v>
      </c>
      <c r="T20" s="9">
        <v>0.55000000000000004</v>
      </c>
      <c r="U20" s="9">
        <v>0.55000000000000004</v>
      </c>
      <c r="V20" s="9">
        <v>0.55000000000000004</v>
      </c>
      <c r="W20" s="9">
        <v>0.55000000000000004</v>
      </c>
      <c r="X20" s="9">
        <v>0.7</v>
      </c>
    </row>
    <row r="21" spans="1:24" x14ac:dyDescent="0.25">
      <c r="A21" s="3">
        <v>2026</v>
      </c>
      <c r="B21" s="3" t="s">
        <v>32</v>
      </c>
      <c r="C21">
        <v>57209</v>
      </c>
      <c r="D21">
        <v>45370</v>
      </c>
      <c r="E21" s="3">
        <v>65000</v>
      </c>
      <c r="F21" s="3">
        <v>719</v>
      </c>
      <c r="G21" s="3">
        <v>93</v>
      </c>
      <c r="H21" s="3">
        <v>812</v>
      </c>
      <c r="I21" s="3">
        <v>900</v>
      </c>
      <c r="J21" s="3">
        <v>2086</v>
      </c>
      <c r="K21" s="3">
        <v>1039</v>
      </c>
      <c r="L21" s="9">
        <v>0.12</v>
      </c>
      <c r="M21" s="9">
        <v>0.37</v>
      </c>
      <c r="N21" s="2">
        <v>0.16333333333333333</v>
      </c>
      <c r="O21" s="2">
        <v>0.34666666666666668</v>
      </c>
      <c r="P21" s="9">
        <v>0.7</v>
      </c>
      <c r="Q21" s="9">
        <v>0.7</v>
      </c>
      <c r="R21" s="9">
        <v>0.7</v>
      </c>
      <c r="S21" s="9">
        <v>0.55000000000000004</v>
      </c>
      <c r="T21" s="9">
        <v>0.55000000000000004</v>
      </c>
      <c r="U21" s="9">
        <v>0.55000000000000004</v>
      </c>
      <c r="V21" s="9">
        <v>0.55000000000000004</v>
      </c>
      <c r="W21" s="9">
        <v>0.55000000000000004</v>
      </c>
      <c r="X21" s="9">
        <v>0.7</v>
      </c>
    </row>
    <row r="22" spans="1:24" x14ac:dyDescent="0.25">
      <c r="A22" s="3">
        <v>2026</v>
      </c>
      <c r="B22" s="3" t="s">
        <v>33</v>
      </c>
      <c r="C22">
        <v>74658</v>
      </c>
      <c r="D22">
        <v>56490</v>
      </c>
      <c r="E22" s="3">
        <v>65000</v>
      </c>
      <c r="F22" s="3">
        <v>476</v>
      </c>
      <c r="G22" s="3">
        <v>423</v>
      </c>
      <c r="H22" s="3">
        <v>899</v>
      </c>
      <c r="I22" s="3">
        <v>900</v>
      </c>
      <c r="J22" s="3">
        <v>2085</v>
      </c>
      <c r="K22" s="3">
        <v>1303</v>
      </c>
      <c r="L22" s="9">
        <v>0.16</v>
      </c>
      <c r="M22" s="9">
        <v>0.37</v>
      </c>
      <c r="N22" s="2">
        <v>0.17666666666666667</v>
      </c>
      <c r="O22" s="2">
        <v>0.29333333333333333</v>
      </c>
      <c r="P22" s="9">
        <v>0.7</v>
      </c>
      <c r="Q22" s="9">
        <v>0.7</v>
      </c>
      <c r="R22" s="9">
        <v>0.7</v>
      </c>
      <c r="S22" s="9">
        <v>0.7</v>
      </c>
      <c r="T22" s="9">
        <v>0.55000000000000004</v>
      </c>
      <c r="U22" s="9">
        <v>0.55000000000000004</v>
      </c>
      <c r="V22" s="9">
        <v>0.55000000000000004</v>
      </c>
      <c r="W22" s="9">
        <v>0.55000000000000004</v>
      </c>
      <c r="X22" s="9">
        <v>0.7</v>
      </c>
    </row>
    <row r="23" spans="1:24" x14ac:dyDescent="0.25">
      <c r="A23" s="3">
        <v>2026</v>
      </c>
      <c r="B23" s="3" t="s">
        <v>34</v>
      </c>
      <c r="C23">
        <v>83203</v>
      </c>
      <c r="D23">
        <v>61490</v>
      </c>
      <c r="E23" s="3">
        <v>65000</v>
      </c>
      <c r="F23" s="3">
        <v>528</v>
      </c>
      <c r="G23" s="3">
        <v>412</v>
      </c>
      <c r="H23" s="3">
        <v>940</v>
      </c>
      <c r="I23" s="3">
        <v>900</v>
      </c>
      <c r="J23" s="3">
        <v>2086</v>
      </c>
      <c r="K23" s="3">
        <v>1579</v>
      </c>
      <c r="L23" s="9">
        <v>0.24</v>
      </c>
      <c r="M23" s="9">
        <v>0.43</v>
      </c>
      <c r="N23" s="2">
        <v>0.2233333333333333</v>
      </c>
      <c r="O23" s="2">
        <v>0.1066666666666668</v>
      </c>
      <c r="P23" s="9">
        <v>0.7</v>
      </c>
      <c r="Q23" s="9">
        <v>0.7</v>
      </c>
      <c r="R23" s="9">
        <v>0.7</v>
      </c>
      <c r="S23" s="9">
        <v>0.7</v>
      </c>
      <c r="T23" s="9">
        <v>0.7</v>
      </c>
      <c r="U23" s="9">
        <v>0.55000000000000004</v>
      </c>
      <c r="V23" s="9">
        <v>0.55000000000000004</v>
      </c>
      <c r="W23" s="9">
        <v>0.55000000000000004</v>
      </c>
      <c r="X23" s="9">
        <v>0.7</v>
      </c>
    </row>
    <row r="24" spans="1:24" x14ac:dyDescent="0.25">
      <c r="A24" s="3">
        <v>2026</v>
      </c>
      <c r="B24" s="3" t="s">
        <v>35</v>
      </c>
      <c r="C24">
        <v>79282</v>
      </c>
      <c r="D24">
        <v>57770</v>
      </c>
      <c r="E24" s="3">
        <v>65000</v>
      </c>
      <c r="F24" s="3">
        <v>524</v>
      </c>
      <c r="G24" s="3">
        <v>468</v>
      </c>
      <c r="H24" s="3">
        <v>992</v>
      </c>
      <c r="I24" s="3">
        <v>900</v>
      </c>
      <c r="J24" s="3">
        <v>2370</v>
      </c>
      <c r="K24" s="3">
        <v>1071</v>
      </c>
      <c r="L24" s="9">
        <v>0.17</v>
      </c>
      <c r="M24" s="9">
        <v>0.42</v>
      </c>
      <c r="N24" s="2">
        <v>0.19666666666666666</v>
      </c>
      <c r="O24" s="2">
        <v>0.21333333333333337</v>
      </c>
      <c r="P24" s="9">
        <v>0.7</v>
      </c>
      <c r="Q24" s="9">
        <v>0.7</v>
      </c>
      <c r="R24" s="9">
        <v>0.7</v>
      </c>
      <c r="S24" s="9">
        <v>0.7</v>
      </c>
      <c r="T24" s="9">
        <v>0.7</v>
      </c>
      <c r="U24" s="9">
        <v>0.7</v>
      </c>
      <c r="V24" s="9">
        <v>0.55000000000000004</v>
      </c>
      <c r="W24" s="9">
        <v>0.55000000000000004</v>
      </c>
      <c r="X24" s="9">
        <v>0.7</v>
      </c>
    </row>
    <row r="25" spans="1:24" x14ac:dyDescent="0.25">
      <c r="A25" s="3">
        <v>2026</v>
      </c>
      <c r="B25" s="3" t="s">
        <v>36</v>
      </c>
      <c r="C25">
        <v>63206</v>
      </c>
      <c r="D25">
        <v>47770</v>
      </c>
      <c r="E25" s="3">
        <v>65000</v>
      </c>
      <c r="F25" s="3">
        <v>695</v>
      </c>
      <c r="G25" s="3">
        <v>278</v>
      </c>
      <c r="H25" s="3">
        <v>973</v>
      </c>
      <c r="I25" s="3">
        <v>900</v>
      </c>
      <c r="J25" s="3">
        <v>1780</v>
      </c>
      <c r="K25" s="3">
        <v>1255</v>
      </c>
      <c r="L25" s="9">
        <v>0.12</v>
      </c>
      <c r="M25" s="9">
        <v>0.33</v>
      </c>
      <c r="N25" s="2">
        <v>0.15</v>
      </c>
      <c r="O25" s="2">
        <v>0.4</v>
      </c>
      <c r="P25" s="9">
        <v>0.7</v>
      </c>
      <c r="Q25" s="9">
        <v>0.7</v>
      </c>
      <c r="R25" s="9">
        <v>0.7</v>
      </c>
      <c r="S25" s="9">
        <v>0.7</v>
      </c>
      <c r="T25" s="9">
        <v>0.7</v>
      </c>
      <c r="U25" s="9">
        <v>0.7</v>
      </c>
      <c r="V25" s="9">
        <v>0.7</v>
      </c>
      <c r="W25" s="9">
        <v>0.55000000000000004</v>
      </c>
      <c r="X25" s="9">
        <v>0.7</v>
      </c>
    </row>
    <row r="26" spans="1:24" x14ac:dyDescent="0.25">
      <c r="A26" s="3">
        <v>2027</v>
      </c>
      <c r="B26" s="3" t="s">
        <v>25</v>
      </c>
      <c r="C26">
        <v>59019</v>
      </c>
      <c r="D26">
        <v>67541</v>
      </c>
      <c r="E26" s="3">
        <v>75000</v>
      </c>
      <c r="F26" s="3">
        <v>538</v>
      </c>
      <c r="G26" s="3">
        <v>510</v>
      </c>
      <c r="H26" s="3">
        <v>1048</v>
      </c>
      <c r="I26" s="3">
        <v>1400</v>
      </c>
      <c r="J26" s="3">
        <v>2001</v>
      </c>
      <c r="K26" s="3">
        <v>1142</v>
      </c>
      <c r="L26" s="9">
        <v>0.15</v>
      </c>
      <c r="M26" s="9">
        <v>0.33</v>
      </c>
      <c r="N26" s="2">
        <v>0.16</v>
      </c>
      <c r="O26" s="2">
        <v>0.36</v>
      </c>
      <c r="P26" s="9">
        <v>0.7</v>
      </c>
      <c r="Q26" s="9">
        <v>0.7</v>
      </c>
      <c r="R26" s="9">
        <v>0.7</v>
      </c>
      <c r="S26" s="9">
        <v>0.7</v>
      </c>
      <c r="T26" s="9">
        <v>0.7</v>
      </c>
      <c r="U26" s="9">
        <v>0.7</v>
      </c>
      <c r="V26" s="9">
        <v>0.7</v>
      </c>
      <c r="W26" s="9">
        <v>0.7</v>
      </c>
      <c r="X26" s="9">
        <v>0.8</v>
      </c>
    </row>
    <row r="27" spans="1:24" x14ac:dyDescent="0.25">
      <c r="A27" s="3">
        <v>2027</v>
      </c>
      <c r="B27" s="3" t="s">
        <v>26</v>
      </c>
      <c r="C27">
        <v>81135</v>
      </c>
      <c r="D27">
        <v>62626</v>
      </c>
      <c r="E27" s="3">
        <v>75000</v>
      </c>
      <c r="F27" s="3">
        <v>797</v>
      </c>
      <c r="G27" s="3">
        <v>318</v>
      </c>
      <c r="H27" s="3">
        <v>1115</v>
      </c>
      <c r="I27" s="3">
        <v>1400</v>
      </c>
      <c r="J27" s="3">
        <v>2073</v>
      </c>
      <c r="K27" s="3">
        <v>1661</v>
      </c>
      <c r="L27" s="9">
        <v>0.22</v>
      </c>
      <c r="M27" s="9">
        <v>0.45</v>
      </c>
      <c r="N27" s="2">
        <v>0.22333333333333336</v>
      </c>
      <c r="O27" s="2">
        <v>0.10666666666666658</v>
      </c>
      <c r="P27" s="9">
        <v>0.8</v>
      </c>
      <c r="Q27" s="9">
        <v>0.7</v>
      </c>
      <c r="R27" s="9">
        <v>0.7</v>
      </c>
      <c r="S27" s="9">
        <v>0.7</v>
      </c>
      <c r="T27" s="9">
        <v>0.7</v>
      </c>
      <c r="U27" s="9">
        <v>0.7</v>
      </c>
      <c r="V27" s="9">
        <v>0.7</v>
      </c>
      <c r="W27" s="9">
        <v>0.7</v>
      </c>
      <c r="X27" s="9">
        <v>0.8</v>
      </c>
    </row>
    <row r="28" spans="1:24" x14ac:dyDescent="0.25">
      <c r="A28" s="3">
        <v>2027</v>
      </c>
      <c r="B28" s="3" t="s">
        <v>27</v>
      </c>
      <c r="C28">
        <v>84342</v>
      </c>
      <c r="D28">
        <v>68752</v>
      </c>
      <c r="E28" s="3">
        <v>75000</v>
      </c>
      <c r="F28" s="3">
        <v>565</v>
      </c>
      <c r="G28" s="3">
        <v>540</v>
      </c>
      <c r="H28" s="3">
        <v>1105</v>
      </c>
      <c r="I28" s="3">
        <v>1400</v>
      </c>
      <c r="J28" s="3">
        <v>2884</v>
      </c>
      <c r="K28" s="3">
        <v>1900</v>
      </c>
      <c r="L28" s="9">
        <v>0.17</v>
      </c>
      <c r="M28" s="9">
        <v>0.38</v>
      </c>
      <c r="N28" s="2">
        <v>0.18333333333333335</v>
      </c>
      <c r="O28" s="2">
        <v>0.26666666666666661</v>
      </c>
      <c r="P28" s="9">
        <v>0.8</v>
      </c>
      <c r="Q28" s="9">
        <v>0.8</v>
      </c>
      <c r="R28" s="9">
        <v>0.7</v>
      </c>
      <c r="S28" s="9">
        <v>0.7</v>
      </c>
      <c r="T28" s="9">
        <v>0.7</v>
      </c>
      <c r="U28" s="9">
        <v>0.7</v>
      </c>
      <c r="V28" s="9">
        <v>0.7</v>
      </c>
      <c r="W28" s="9">
        <v>0.7</v>
      </c>
      <c r="X28" s="9">
        <v>0.8</v>
      </c>
    </row>
    <row r="29" spans="1:24" x14ac:dyDescent="0.25">
      <c r="A29" s="3">
        <v>2027</v>
      </c>
      <c r="B29" s="3" t="s">
        <v>28</v>
      </c>
      <c r="C29">
        <v>73245</v>
      </c>
      <c r="D29">
        <v>78653</v>
      </c>
      <c r="E29" s="3">
        <v>75000</v>
      </c>
      <c r="F29" s="3">
        <v>882</v>
      </c>
      <c r="G29" s="3">
        <v>325</v>
      </c>
      <c r="H29" s="3">
        <v>1207</v>
      </c>
      <c r="I29" s="3">
        <v>1400</v>
      </c>
      <c r="J29" s="3">
        <v>2908</v>
      </c>
      <c r="K29" s="3">
        <v>1400</v>
      </c>
      <c r="L29" s="9">
        <v>0.08</v>
      </c>
      <c r="M29" s="9">
        <v>0.41</v>
      </c>
      <c r="N29" s="2">
        <v>0.16333333333333333</v>
      </c>
      <c r="O29" s="2">
        <v>0.34666666666666668</v>
      </c>
      <c r="P29" s="9">
        <v>0.8</v>
      </c>
      <c r="Q29" s="9">
        <v>0.8</v>
      </c>
      <c r="R29" s="9">
        <v>0.8</v>
      </c>
      <c r="S29" s="9">
        <v>0.7</v>
      </c>
      <c r="T29" s="9">
        <v>0.7</v>
      </c>
      <c r="U29" s="9">
        <v>0.7</v>
      </c>
      <c r="V29" s="9">
        <v>0.7</v>
      </c>
      <c r="W29" s="9">
        <v>0.7</v>
      </c>
      <c r="X29" s="9">
        <v>0.8</v>
      </c>
    </row>
    <row r="30" spans="1:24" x14ac:dyDescent="0.25">
      <c r="A30" s="3">
        <v>2027</v>
      </c>
      <c r="B30" s="3" t="s">
        <v>29</v>
      </c>
      <c r="C30">
        <v>57139</v>
      </c>
      <c r="D30">
        <v>73540</v>
      </c>
      <c r="E30" s="3">
        <v>75000</v>
      </c>
      <c r="F30" s="3">
        <v>597</v>
      </c>
      <c r="G30" s="3">
        <v>611</v>
      </c>
      <c r="H30" s="3">
        <v>1208</v>
      </c>
      <c r="I30" s="3">
        <v>1400</v>
      </c>
      <c r="J30" s="3">
        <v>3213</v>
      </c>
      <c r="K30" s="3">
        <v>1618</v>
      </c>
      <c r="L30" s="9">
        <v>0.06</v>
      </c>
      <c r="M30" s="9">
        <v>0.23</v>
      </c>
      <c r="N30" s="2">
        <v>9.6666666666666679E-2</v>
      </c>
      <c r="O30" s="2">
        <v>0.61333333333333329</v>
      </c>
      <c r="P30" s="9">
        <v>0.8</v>
      </c>
      <c r="Q30" s="9">
        <v>0.8</v>
      </c>
      <c r="R30" s="9">
        <v>0.8</v>
      </c>
      <c r="S30" s="9">
        <v>0.8</v>
      </c>
      <c r="T30" s="9">
        <v>0.7</v>
      </c>
      <c r="U30" s="9">
        <v>0.7</v>
      </c>
      <c r="V30" s="9">
        <v>0.7</v>
      </c>
      <c r="W30" s="9">
        <v>0.7</v>
      </c>
      <c r="X30" s="9">
        <v>0.8</v>
      </c>
    </row>
    <row r="31" spans="1:24" x14ac:dyDescent="0.25">
      <c r="A31" s="3">
        <v>2027</v>
      </c>
      <c r="B31" s="3" t="s">
        <v>30</v>
      </c>
      <c r="C31">
        <v>44835</v>
      </c>
      <c r="D31">
        <v>61426</v>
      </c>
      <c r="E31" s="3">
        <v>75000</v>
      </c>
      <c r="F31" s="3">
        <v>645</v>
      </c>
      <c r="G31" s="3">
        <v>616</v>
      </c>
      <c r="H31" s="3">
        <v>1261</v>
      </c>
      <c r="I31" s="3">
        <v>1400</v>
      </c>
      <c r="J31" s="3">
        <v>2282</v>
      </c>
      <c r="K31" s="3">
        <v>1941</v>
      </c>
      <c r="L31" s="9">
        <v>0.09</v>
      </c>
      <c r="M31" s="9">
        <v>0.23</v>
      </c>
      <c r="N31" s="2">
        <v>0.10666666666666667</v>
      </c>
      <c r="O31" s="2">
        <v>0.57333333333333325</v>
      </c>
      <c r="P31" s="9">
        <v>0.8</v>
      </c>
      <c r="Q31" s="9">
        <v>0.8</v>
      </c>
      <c r="R31" s="9">
        <v>0.8</v>
      </c>
      <c r="S31" s="9">
        <v>0.8</v>
      </c>
      <c r="T31" s="9">
        <v>0.8</v>
      </c>
      <c r="U31" s="9">
        <v>0.7</v>
      </c>
      <c r="V31" s="9">
        <v>0.7</v>
      </c>
      <c r="W31" s="9">
        <v>0.7</v>
      </c>
      <c r="X31" s="9">
        <v>0.8</v>
      </c>
    </row>
    <row r="32" spans="1:24" x14ac:dyDescent="0.25">
      <c r="A32" s="3">
        <v>2027</v>
      </c>
      <c r="B32" s="3" t="s">
        <v>31</v>
      </c>
      <c r="C32">
        <v>52221</v>
      </c>
      <c r="D32">
        <v>58031</v>
      </c>
      <c r="E32" s="3">
        <v>75000</v>
      </c>
      <c r="F32" s="3">
        <v>790</v>
      </c>
      <c r="G32" s="3">
        <v>499</v>
      </c>
      <c r="H32" s="3">
        <v>1289</v>
      </c>
      <c r="I32" s="3">
        <v>1400</v>
      </c>
      <c r="J32" s="3">
        <v>3441</v>
      </c>
      <c r="K32" s="3">
        <v>1997</v>
      </c>
      <c r="L32" s="9">
        <v>0.08</v>
      </c>
      <c r="M32" s="9">
        <v>0.32</v>
      </c>
      <c r="N32" s="2">
        <v>0.13333333333333333</v>
      </c>
      <c r="O32" s="2">
        <v>0.46666666666666667</v>
      </c>
      <c r="P32" s="9">
        <v>0.8</v>
      </c>
      <c r="Q32" s="9">
        <v>0.8</v>
      </c>
      <c r="R32" s="9">
        <v>0.8</v>
      </c>
      <c r="S32" s="9">
        <v>0.8</v>
      </c>
      <c r="T32" s="9">
        <v>0.8</v>
      </c>
      <c r="U32" s="9">
        <v>0.8</v>
      </c>
      <c r="V32" s="9">
        <v>0.7</v>
      </c>
      <c r="W32" s="9">
        <v>0.7</v>
      </c>
      <c r="X32" s="9">
        <v>0.8</v>
      </c>
    </row>
    <row r="33" spans="1:24" x14ac:dyDescent="0.25">
      <c r="A33" s="3">
        <v>2027</v>
      </c>
      <c r="B33" s="3" t="s">
        <v>32</v>
      </c>
      <c r="C33">
        <v>96718</v>
      </c>
      <c r="D33">
        <v>65713</v>
      </c>
      <c r="E33" s="3">
        <v>75000</v>
      </c>
      <c r="F33" s="3">
        <v>996</v>
      </c>
      <c r="G33" s="3">
        <v>431</v>
      </c>
      <c r="H33" s="3">
        <v>1427</v>
      </c>
      <c r="I33" s="3">
        <v>1400</v>
      </c>
      <c r="J33" s="3">
        <v>4181</v>
      </c>
      <c r="K33" s="3">
        <v>2226</v>
      </c>
      <c r="L33" s="9">
        <v>0.09</v>
      </c>
      <c r="M33" s="9">
        <v>0.24</v>
      </c>
      <c r="N33" s="2">
        <v>0.10999999999999999</v>
      </c>
      <c r="O33" s="2">
        <v>0.56000000000000005</v>
      </c>
      <c r="P33" s="9">
        <v>0.8</v>
      </c>
      <c r="Q33" s="9">
        <v>0.8</v>
      </c>
      <c r="R33" s="9">
        <v>0.8</v>
      </c>
      <c r="S33" s="9">
        <v>0.8</v>
      </c>
      <c r="T33" s="9">
        <v>0.8</v>
      </c>
      <c r="U33" s="9">
        <v>0.8</v>
      </c>
      <c r="V33" s="9">
        <v>0.8</v>
      </c>
      <c r="W33" s="9">
        <v>0.7</v>
      </c>
      <c r="X33" s="9">
        <v>0.8</v>
      </c>
    </row>
    <row r="34" spans="1:24" x14ac:dyDescent="0.25">
      <c r="A34" s="3">
        <v>2027</v>
      </c>
      <c r="B34" s="3" t="s">
        <v>33</v>
      </c>
      <c r="C34">
        <v>111028</v>
      </c>
      <c r="D34">
        <v>80943</v>
      </c>
      <c r="E34" s="3">
        <v>75000</v>
      </c>
      <c r="F34" s="3">
        <v>1183</v>
      </c>
      <c r="G34" s="3">
        <v>210</v>
      </c>
      <c r="H34" s="3">
        <v>1393</v>
      </c>
      <c r="I34" s="3">
        <v>1400</v>
      </c>
      <c r="J34" s="3">
        <v>1936</v>
      </c>
      <c r="K34" s="3">
        <v>1532</v>
      </c>
      <c r="L34" s="9">
        <v>0.19</v>
      </c>
      <c r="M34" s="9">
        <v>0.4</v>
      </c>
      <c r="N34" s="2">
        <v>0.19666666666666668</v>
      </c>
      <c r="O34" s="2">
        <v>0.21333333333333326</v>
      </c>
      <c r="P34" s="9">
        <v>0.9</v>
      </c>
      <c r="Q34" s="9">
        <v>0.8</v>
      </c>
      <c r="R34" s="9">
        <v>0.8</v>
      </c>
      <c r="S34" s="9">
        <v>0.8</v>
      </c>
      <c r="T34" s="9">
        <v>0.8</v>
      </c>
      <c r="U34" s="9">
        <v>0.8</v>
      </c>
      <c r="V34" s="9">
        <v>0.8</v>
      </c>
      <c r="W34" s="9">
        <v>0.8</v>
      </c>
      <c r="X34" s="9">
        <v>0.8</v>
      </c>
    </row>
    <row r="35" spans="1:24" x14ac:dyDescent="0.25">
      <c r="A35" s="3">
        <v>2027</v>
      </c>
      <c r="B35" s="3" t="s">
        <v>34</v>
      </c>
      <c r="C35">
        <v>105644</v>
      </c>
      <c r="D35">
        <v>89819</v>
      </c>
      <c r="E35" s="3">
        <v>75000</v>
      </c>
      <c r="F35" s="3">
        <v>876</v>
      </c>
      <c r="G35" s="3">
        <v>516</v>
      </c>
      <c r="H35" s="3">
        <v>1392</v>
      </c>
      <c r="I35" s="3">
        <v>1400</v>
      </c>
      <c r="J35" s="3">
        <v>4148</v>
      </c>
      <c r="K35" s="3">
        <v>2352</v>
      </c>
      <c r="L35" s="9">
        <v>0.16</v>
      </c>
      <c r="M35" s="9">
        <v>0.5</v>
      </c>
      <c r="N35" s="2">
        <v>0.22</v>
      </c>
      <c r="O35" s="2">
        <v>0.12</v>
      </c>
      <c r="P35" s="9">
        <v>0.9</v>
      </c>
      <c r="Q35" s="9">
        <v>0.9</v>
      </c>
      <c r="R35" s="9">
        <v>0.8</v>
      </c>
      <c r="S35" s="9">
        <v>0.8</v>
      </c>
      <c r="T35" s="9">
        <v>0.8</v>
      </c>
      <c r="U35" s="9">
        <v>0.8</v>
      </c>
      <c r="V35" s="9">
        <v>0.8</v>
      </c>
      <c r="W35" s="9">
        <v>0.8</v>
      </c>
      <c r="X35" s="9">
        <v>0.8</v>
      </c>
    </row>
    <row r="36" spans="1:24" x14ac:dyDescent="0.25">
      <c r="A36" s="3">
        <v>2027</v>
      </c>
      <c r="B36" s="3" t="s">
        <v>35</v>
      </c>
      <c r="C36">
        <v>77026</v>
      </c>
      <c r="D36">
        <v>85029</v>
      </c>
      <c r="E36" s="3">
        <v>75000</v>
      </c>
      <c r="F36" s="3">
        <v>1101</v>
      </c>
      <c r="G36" s="3">
        <v>406</v>
      </c>
      <c r="H36" s="3">
        <v>1507</v>
      </c>
      <c r="I36" s="3">
        <v>1400</v>
      </c>
      <c r="J36" s="3">
        <v>2848</v>
      </c>
      <c r="K36" s="3">
        <v>2049</v>
      </c>
      <c r="L36" s="9">
        <v>0.24</v>
      </c>
      <c r="M36" s="9">
        <v>0.33</v>
      </c>
      <c r="N36" s="2">
        <v>0.19000000000000003</v>
      </c>
      <c r="O36" s="2">
        <v>0.23999999999999988</v>
      </c>
      <c r="P36" s="9">
        <v>0.9</v>
      </c>
      <c r="Q36" s="9">
        <v>0.9</v>
      </c>
      <c r="R36" s="9">
        <v>0.9</v>
      </c>
      <c r="S36" s="9">
        <v>0.8</v>
      </c>
      <c r="T36" s="9">
        <v>0.8</v>
      </c>
      <c r="U36" s="9">
        <v>0.8</v>
      </c>
      <c r="V36" s="9">
        <v>0.8</v>
      </c>
      <c r="W36" s="9">
        <v>0.8</v>
      </c>
      <c r="X36" s="9">
        <v>0.8</v>
      </c>
    </row>
    <row r="37" spans="1:24" x14ac:dyDescent="0.25">
      <c r="A37" s="3">
        <v>2027</v>
      </c>
      <c r="B37" s="3" t="s">
        <v>36</v>
      </c>
      <c r="C37">
        <v>90717</v>
      </c>
      <c r="D37">
        <v>74016</v>
      </c>
      <c r="E37" s="3">
        <v>75000</v>
      </c>
      <c r="F37" s="3">
        <v>1269</v>
      </c>
      <c r="G37" s="3">
        <v>197</v>
      </c>
      <c r="H37" s="3">
        <v>1466</v>
      </c>
      <c r="I37" s="3">
        <v>1400</v>
      </c>
      <c r="J37" s="3">
        <v>3019</v>
      </c>
      <c r="K37" s="3">
        <v>1524</v>
      </c>
      <c r="L37" s="9">
        <v>0.06</v>
      </c>
      <c r="M37" s="9">
        <v>0.3</v>
      </c>
      <c r="N37" s="2">
        <v>0.12</v>
      </c>
      <c r="O37" s="2">
        <v>0.52</v>
      </c>
      <c r="P37" s="9">
        <v>0.9</v>
      </c>
      <c r="Q37" s="9">
        <v>0.9</v>
      </c>
      <c r="R37" s="9">
        <v>0.9</v>
      </c>
      <c r="S37" s="9">
        <v>0.9</v>
      </c>
      <c r="T37" s="9">
        <v>0.8</v>
      </c>
      <c r="U37" s="9">
        <v>0.8</v>
      </c>
      <c r="V37" s="9">
        <v>0.8</v>
      </c>
      <c r="W37" s="9">
        <v>0.8</v>
      </c>
      <c r="X37" s="9">
        <v>0.8</v>
      </c>
    </row>
    <row r="38" spans="1:24" x14ac:dyDescent="0.25">
      <c r="A38" s="3">
        <v>2028</v>
      </c>
      <c r="B38" s="3" t="s">
        <v>25</v>
      </c>
      <c r="C38">
        <v>112023</v>
      </c>
      <c r="D38">
        <v>100740</v>
      </c>
      <c r="E38" s="3">
        <v>100000</v>
      </c>
      <c r="F38" s="3">
        <v>1090</v>
      </c>
      <c r="G38" s="3">
        <v>474</v>
      </c>
      <c r="H38" s="3">
        <v>1564</v>
      </c>
      <c r="I38" s="3">
        <v>1800</v>
      </c>
      <c r="J38" s="3">
        <v>3018</v>
      </c>
      <c r="K38" s="3">
        <v>2658</v>
      </c>
      <c r="L38" s="9">
        <v>0.13</v>
      </c>
      <c r="M38" s="9">
        <v>0.31</v>
      </c>
      <c r="N38" s="2">
        <v>0.14666666666666667</v>
      </c>
      <c r="O38" s="2">
        <v>0.41333333333333333</v>
      </c>
      <c r="P38" s="9">
        <v>0.9</v>
      </c>
      <c r="Q38" s="9">
        <v>0.9</v>
      </c>
      <c r="R38" s="9">
        <v>0.9</v>
      </c>
      <c r="S38" s="9">
        <v>0.9</v>
      </c>
      <c r="T38" s="9">
        <v>0.9</v>
      </c>
      <c r="U38" s="9">
        <v>0.8</v>
      </c>
      <c r="V38" s="9">
        <v>0.8</v>
      </c>
      <c r="W38" s="9">
        <v>0.8</v>
      </c>
      <c r="X38" s="9">
        <v>1</v>
      </c>
    </row>
    <row r="39" spans="1:24" x14ac:dyDescent="0.25">
      <c r="A39" s="3">
        <v>2028</v>
      </c>
      <c r="B39" s="3" t="s">
        <v>26</v>
      </c>
      <c r="C39">
        <v>89374</v>
      </c>
      <c r="D39">
        <v>94530</v>
      </c>
      <c r="E39" s="3">
        <v>100000</v>
      </c>
      <c r="F39" s="3">
        <v>956</v>
      </c>
      <c r="G39" s="3">
        <v>561</v>
      </c>
      <c r="H39" s="3">
        <v>1517</v>
      </c>
      <c r="I39" s="3">
        <v>1800</v>
      </c>
      <c r="J39" s="3">
        <v>3261</v>
      </c>
      <c r="K39" s="3">
        <v>2336</v>
      </c>
      <c r="L39" s="9">
        <v>0.21</v>
      </c>
      <c r="M39" s="9">
        <v>0.44</v>
      </c>
      <c r="N39" s="2">
        <v>0.21666666666666667</v>
      </c>
      <c r="O39" s="2">
        <v>0.1333333333333333</v>
      </c>
      <c r="P39" s="9">
        <v>0.9</v>
      </c>
      <c r="Q39" s="9">
        <v>0.9</v>
      </c>
      <c r="R39" s="9">
        <v>0.9</v>
      </c>
      <c r="S39" s="9">
        <v>0.9</v>
      </c>
      <c r="T39" s="9">
        <v>0.9</v>
      </c>
      <c r="U39" s="9">
        <v>0.9</v>
      </c>
      <c r="V39" s="9">
        <v>0.8</v>
      </c>
      <c r="W39" s="9">
        <v>0.8</v>
      </c>
      <c r="X39" s="9">
        <v>1</v>
      </c>
    </row>
    <row r="40" spans="1:24" x14ac:dyDescent="0.25">
      <c r="A40" s="3">
        <v>2028</v>
      </c>
      <c r="B40" s="3" t="s">
        <v>27</v>
      </c>
      <c r="C40">
        <v>73824</v>
      </c>
      <c r="D40">
        <v>102810</v>
      </c>
      <c r="E40" s="3">
        <v>100000</v>
      </c>
      <c r="F40" s="3">
        <v>969</v>
      </c>
      <c r="G40" s="3">
        <v>614</v>
      </c>
      <c r="H40" s="3">
        <v>1583</v>
      </c>
      <c r="I40" s="3">
        <v>1800</v>
      </c>
      <c r="J40" s="3">
        <v>3039</v>
      </c>
      <c r="K40" s="3">
        <v>2437</v>
      </c>
      <c r="L40" s="9">
        <v>0.18</v>
      </c>
      <c r="M40" s="9">
        <v>0.27</v>
      </c>
      <c r="N40" s="2">
        <v>0.15</v>
      </c>
      <c r="O40" s="2">
        <v>0.4</v>
      </c>
      <c r="P40" s="9">
        <v>0.9</v>
      </c>
      <c r="Q40" s="9">
        <v>0.9</v>
      </c>
      <c r="R40" s="9">
        <v>0.9</v>
      </c>
      <c r="S40" s="9">
        <v>0.9</v>
      </c>
      <c r="T40" s="9">
        <v>0.9</v>
      </c>
      <c r="U40" s="9">
        <v>0.9</v>
      </c>
      <c r="V40" s="9">
        <v>0.9</v>
      </c>
      <c r="W40" s="9">
        <v>0.8</v>
      </c>
      <c r="X40" s="9">
        <v>1</v>
      </c>
    </row>
    <row r="41" spans="1:24" x14ac:dyDescent="0.25">
      <c r="A41" s="3">
        <v>2028</v>
      </c>
      <c r="B41" s="3" t="s">
        <v>28</v>
      </c>
      <c r="C41">
        <v>70497</v>
      </c>
      <c r="D41">
        <v>113850</v>
      </c>
      <c r="E41" s="3">
        <v>100000</v>
      </c>
      <c r="F41" s="3">
        <v>1430</v>
      </c>
      <c r="G41" s="3">
        <v>254</v>
      </c>
      <c r="H41" s="3">
        <v>1684</v>
      </c>
      <c r="I41" s="3">
        <v>1800</v>
      </c>
      <c r="J41" s="3">
        <v>2997</v>
      </c>
      <c r="K41" s="3">
        <v>2576</v>
      </c>
      <c r="L41" s="9">
        <v>7.0000000000000007E-2</v>
      </c>
      <c r="M41" s="9">
        <v>0.47</v>
      </c>
      <c r="N41" s="2">
        <v>0.18000000000000002</v>
      </c>
      <c r="O41" s="2">
        <v>0.27999999999999992</v>
      </c>
      <c r="P41" s="9">
        <v>0.9</v>
      </c>
      <c r="Q41" s="9">
        <v>0.9</v>
      </c>
      <c r="R41" s="9">
        <v>0.9</v>
      </c>
      <c r="S41" s="9">
        <v>0.9</v>
      </c>
      <c r="T41" s="9">
        <v>0.9</v>
      </c>
      <c r="U41" s="9">
        <v>0.9</v>
      </c>
      <c r="V41" s="9">
        <v>0.9</v>
      </c>
      <c r="W41" s="9">
        <v>0.9</v>
      </c>
      <c r="X41" s="9">
        <v>1</v>
      </c>
    </row>
    <row r="42" spans="1:24" x14ac:dyDescent="0.25">
      <c r="A42" s="3">
        <v>2028</v>
      </c>
      <c r="B42" s="3" t="s">
        <v>29</v>
      </c>
      <c r="C42">
        <v>80257</v>
      </c>
      <c r="D42">
        <v>106260</v>
      </c>
      <c r="E42" s="3">
        <v>100000</v>
      </c>
      <c r="F42" s="3">
        <v>834</v>
      </c>
      <c r="G42" s="3">
        <v>913</v>
      </c>
      <c r="H42" s="3">
        <v>1747</v>
      </c>
      <c r="I42" s="3">
        <v>1800</v>
      </c>
      <c r="J42" s="3">
        <v>4332</v>
      </c>
      <c r="K42" s="3">
        <v>2882</v>
      </c>
      <c r="L42" s="9">
        <v>0.12</v>
      </c>
      <c r="M42" s="9">
        <v>0.44</v>
      </c>
      <c r="N42" s="2">
        <v>0.18666666666666668</v>
      </c>
      <c r="O42" s="2">
        <v>0.2533333333333333</v>
      </c>
      <c r="P42" s="9">
        <v>1</v>
      </c>
      <c r="Q42" s="9">
        <v>0.9</v>
      </c>
      <c r="R42" s="9">
        <v>0.9</v>
      </c>
      <c r="S42" s="9">
        <v>0.9</v>
      </c>
      <c r="T42" s="9">
        <v>0.9</v>
      </c>
      <c r="U42" s="9">
        <v>0.9</v>
      </c>
      <c r="V42" s="9">
        <v>0.9</v>
      </c>
      <c r="W42" s="9">
        <v>0.9</v>
      </c>
      <c r="X42" s="9">
        <v>1</v>
      </c>
    </row>
    <row r="43" spans="1:24" x14ac:dyDescent="0.25">
      <c r="A43" s="3">
        <v>2028</v>
      </c>
      <c r="B43" s="3" t="s">
        <v>30</v>
      </c>
      <c r="C43">
        <v>100146</v>
      </c>
      <c r="D43">
        <v>89700</v>
      </c>
      <c r="E43" s="3">
        <v>100000</v>
      </c>
      <c r="F43" s="3">
        <v>961</v>
      </c>
      <c r="G43" s="3">
        <v>803</v>
      </c>
      <c r="H43" s="3">
        <v>1764</v>
      </c>
      <c r="I43" s="3">
        <v>1800</v>
      </c>
      <c r="J43" s="3">
        <v>3139</v>
      </c>
      <c r="K43" s="3">
        <v>2504</v>
      </c>
      <c r="L43" s="9">
        <v>0.25</v>
      </c>
      <c r="M43" s="9">
        <v>0.38</v>
      </c>
      <c r="N43" s="2">
        <v>0.21</v>
      </c>
      <c r="O43" s="2">
        <v>0.16000000000000003</v>
      </c>
      <c r="P43" s="9">
        <v>1</v>
      </c>
      <c r="Q43" s="9">
        <v>1</v>
      </c>
      <c r="R43" s="9">
        <v>0.9</v>
      </c>
      <c r="S43" s="9">
        <v>0.9</v>
      </c>
      <c r="T43" s="9">
        <v>0.9</v>
      </c>
      <c r="U43" s="9">
        <v>0.9</v>
      </c>
      <c r="V43" s="9">
        <v>0.9</v>
      </c>
      <c r="W43" s="9">
        <v>0.9</v>
      </c>
      <c r="X43" s="9">
        <v>1</v>
      </c>
    </row>
    <row r="44" spans="1:24" x14ac:dyDescent="0.25">
      <c r="A44" s="3">
        <v>2028</v>
      </c>
      <c r="B44" s="3" t="s">
        <v>31</v>
      </c>
      <c r="C44">
        <v>123979</v>
      </c>
      <c r="D44">
        <v>88320</v>
      </c>
      <c r="E44" s="3">
        <v>100000</v>
      </c>
      <c r="F44" s="3">
        <v>1644</v>
      </c>
      <c r="G44" s="3">
        <v>149</v>
      </c>
      <c r="H44" s="3">
        <v>1793</v>
      </c>
      <c r="I44" s="3">
        <v>1800</v>
      </c>
      <c r="J44" s="3">
        <v>2797</v>
      </c>
      <c r="K44" s="3">
        <v>1972</v>
      </c>
      <c r="L44" s="9">
        <v>0.18</v>
      </c>
      <c r="M44" s="9">
        <v>0.48</v>
      </c>
      <c r="N44" s="2">
        <v>0.21999999999999997</v>
      </c>
      <c r="O44" s="2">
        <v>0.12000000000000011</v>
      </c>
      <c r="P44" s="9">
        <v>1</v>
      </c>
      <c r="Q44" s="9">
        <v>1</v>
      </c>
      <c r="R44" s="9">
        <v>1</v>
      </c>
      <c r="S44" s="9">
        <v>0.9</v>
      </c>
      <c r="T44" s="9">
        <v>0.9</v>
      </c>
      <c r="U44" s="9">
        <v>0.9</v>
      </c>
      <c r="V44" s="9">
        <v>0.9</v>
      </c>
      <c r="W44" s="9">
        <v>0.9</v>
      </c>
      <c r="X44" s="9">
        <v>1</v>
      </c>
    </row>
    <row r="45" spans="1:24" x14ac:dyDescent="0.25">
      <c r="A45" s="3">
        <v>2028</v>
      </c>
      <c r="B45" s="3" t="s">
        <v>32</v>
      </c>
      <c r="C45">
        <v>143879</v>
      </c>
      <c r="D45">
        <v>99360</v>
      </c>
      <c r="E45" s="3">
        <v>100000</v>
      </c>
      <c r="F45" s="3">
        <v>1637</v>
      </c>
      <c r="G45" s="3">
        <v>149</v>
      </c>
      <c r="H45" s="3">
        <v>1786</v>
      </c>
      <c r="I45" s="3">
        <v>1800</v>
      </c>
      <c r="J45" s="3">
        <v>4036</v>
      </c>
      <c r="K45" s="3">
        <v>2089</v>
      </c>
      <c r="L45" s="9">
        <v>0.18</v>
      </c>
      <c r="M45" s="9">
        <v>0.43</v>
      </c>
      <c r="N45" s="2">
        <v>0.20333333333333334</v>
      </c>
      <c r="O45" s="2">
        <v>0.18666666666666665</v>
      </c>
      <c r="P45" s="9">
        <v>1</v>
      </c>
      <c r="Q45" s="9">
        <v>1</v>
      </c>
      <c r="R45" s="9">
        <v>1</v>
      </c>
      <c r="S45" s="9">
        <v>1</v>
      </c>
      <c r="T45" s="9">
        <v>0.9</v>
      </c>
      <c r="U45" s="9">
        <v>0.9</v>
      </c>
      <c r="V45" s="9">
        <v>0.9</v>
      </c>
      <c r="W45" s="9">
        <v>0.9</v>
      </c>
      <c r="X45" s="9">
        <v>1</v>
      </c>
    </row>
    <row r="46" spans="1:24" x14ac:dyDescent="0.25">
      <c r="A46" s="3">
        <v>2028</v>
      </c>
      <c r="B46" s="3" t="s">
        <v>33</v>
      </c>
      <c r="C46">
        <v>153629</v>
      </c>
      <c r="D46">
        <v>120060</v>
      </c>
      <c r="E46" s="3">
        <v>100000</v>
      </c>
      <c r="F46" s="3">
        <v>1482</v>
      </c>
      <c r="G46" s="3">
        <v>338</v>
      </c>
      <c r="H46" s="3">
        <v>1820</v>
      </c>
      <c r="I46" s="3">
        <v>1800</v>
      </c>
      <c r="J46" s="3">
        <v>4604</v>
      </c>
      <c r="K46" s="3">
        <v>2129</v>
      </c>
      <c r="L46" s="9">
        <v>0.23</v>
      </c>
      <c r="M46" s="9">
        <v>0.43</v>
      </c>
      <c r="N46" s="2">
        <v>0.22</v>
      </c>
      <c r="O46" s="2">
        <v>0.12</v>
      </c>
      <c r="P46" s="9">
        <v>1</v>
      </c>
      <c r="Q46" s="9">
        <v>1</v>
      </c>
      <c r="R46" s="9">
        <v>1</v>
      </c>
      <c r="S46" s="9">
        <v>1</v>
      </c>
      <c r="T46" s="9">
        <v>1</v>
      </c>
      <c r="U46" s="9">
        <v>0.9</v>
      </c>
      <c r="V46" s="9">
        <v>0.9</v>
      </c>
      <c r="W46" s="9">
        <v>0.9</v>
      </c>
      <c r="X46" s="9">
        <v>1</v>
      </c>
    </row>
    <row r="47" spans="1:24" x14ac:dyDescent="0.25">
      <c r="A47" s="3">
        <v>2028</v>
      </c>
      <c r="B47" s="3" t="s">
        <v>34</v>
      </c>
      <c r="C47">
        <v>150252</v>
      </c>
      <c r="D47">
        <v>128340</v>
      </c>
      <c r="E47" s="3">
        <v>100000</v>
      </c>
      <c r="F47" s="3">
        <v>1701</v>
      </c>
      <c r="G47" s="3">
        <v>189</v>
      </c>
      <c r="H47" s="3">
        <v>1890</v>
      </c>
      <c r="I47" s="3">
        <v>1800</v>
      </c>
      <c r="J47" s="3">
        <v>3780</v>
      </c>
      <c r="K47" s="3">
        <v>2740</v>
      </c>
      <c r="L47" s="9">
        <v>0.18</v>
      </c>
      <c r="M47" s="9">
        <v>0.2</v>
      </c>
      <c r="N47" s="2">
        <v>0.12666666666666668</v>
      </c>
      <c r="O47" s="2">
        <v>0.49333333333333329</v>
      </c>
      <c r="P47" s="9">
        <v>1</v>
      </c>
      <c r="Q47" s="9">
        <v>1</v>
      </c>
      <c r="R47" s="9">
        <v>1</v>
      </c>
      <c r="S47" s="9">
        <v>1</v>
      </c>
      <c r="T47" s="9">
        <v>1</v>
      </c>
      <c r="U47" s="9">
        <v>1</v>
      </c>
      <c r="V47" s="9">
        <v>0.9</v>
      </c>
      <c r="W47" s="9">
        <v>0.9</v>
      </c>
      <c r="X47" s="9">
        <v>1</v>
      </c>
    </row>
    <row r="48" spans="1:24" x14ac:dyDescent="0.25">
      <c r="A48" s="3">
        <v>2028</v>
      </c>
      <c r="B48" s="3" t="s">
        <v>35</v>
      </c>
      <c r="C48">
        <v>134779</v>
      </c>
      <c r="D48">
        <v>122820</v>
      </c>
      <c r="E48" s="3">
        <v>100000</v>
      </c>
      <c r="F48" s="3">
        <v>1156</v>
      </c>
      <c r="G48" s="3">
        <v>785</v>
      </c>
      <c r="H48" s="3">
        <v>1941</v>
      </c>
      <c r="I48" s="3">
        <v>1800</v>
      </c>
      <c r="J48" s="3">
        <v>5415</v>
      </c>
      <c r="K48" s="3">
        <v>1979</v>
      </c>
      <c r="L48" s="9">
        <v>0.12</v>
      </c>
      <c r="M48" s="9">
        <v>0.33</v>
      </c>
      <c r="N48" s="2">
        <v>0.15</v>
      </c>
      <c r="O48" s="2">
        <v>0.4</v>
      </c>
      <c r="P48" s="9">
        <v>1</v>
      </c>
      <c r="Q48" s="9">
        <v>1</v>
      </c>
      <c r="R48" s="9">
        <v>1</v>
      </c>
      <c r="S48" s="9">
        <v>1</v>
      </c>
      <c r="T48" s="9">
        <v>1</v>
      </c>
      <c r="U48" s="9">
        <v>1</v>
      </c>
      <c r="V48" s="9">
        <v>1</v>
      </c>
      <c r="W48" s="9">
        <v>0.9</v>
      </c>
      <c r="X48" s="9">
        <v>1</v>
      </c>
    </row>
    <row r="49" spans="1:24" x14ac:dyDescent="0.25">
      <c r="A49" s="3">
        <v>2028</v>
      </c>
      <c r="B49" s="3" t="s">
        <v>36</v>
      </c>
      <c r="C49">
        <v>112126</v>
      </c>
      <c r="D49">
        <v>110400</v>
      </c>
      <c r="E49" s="3">
        <v>100000</v>
      </c>
      <c r="F49" s="3">
        <v>1798</v>
      </c>
      <c r="G49" s="3">
        <v>202</v>
      </c>
      <c r="H49" s="3">
        <v>2000</v>
      </c>
      <c r="I49" s="3">
        <v>1800</v>
      </c>
      <c r="J49" s="3">
        <v>3940</v>
      </c>
      <c r="K49" s="3">
        <v>2640</v>
      </c>
      <c r="L49" s="9">
        <v>0.12</v>
      </c>
      <c r="M49" s="9">
        <v>0.23</v>
      </c>
      <c r="N49" s="2">
        <v>0.11666666666666665</v>
      </c>
      <c r="O49" s="2">
        <v>0.53333333333333344</v>
      </c>
      <c r="P49" s="9">
        <v>1</v>
      </c>
      <c r="Q49" s="9">
        <v>1</v>
      </c>
      <c r="R49" s="9">
        <v>1</v>
      </c>
      <c r="S49" s="9">
        <v>1</v>
      </c>
      <c r="T49" s="9">
        <v>1</v>
      </c>
      <c r="U49" s="9">
        <v>1</v>
      </c>
      <c r="V49" s="9">
        <v>1</v>
      </c>
      <c r="W49" s="9">
        <v>1</v>
      </c>
      <c r="X49" s="9">
        <v>1</v>
      </c>
    </row>
  </sheetData>
  <mergeCells count="1">
    <mergeCell ref="Z1:AE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9354E-81ED-4184-B4C3-66BFBE9960CC}">
  <sheetPr codeName="Sheet9"/>
  <dimension ref="B1:I12"/>
  <sheetViews>
    <sheetView workbookViewId="0">
      <selection activeCell="D1" sqref="D1:I2"/>
    </sheetView>
  </sheetViews>
  <sheetFormatPr defaultRowHeight="15" x14ac:dyDescent="0.25"/>
  <sheetData>
    <row r="1" spans="2:9" x14ac:dyDescent="0.25">
      <c r="D1" s="23"/>
      <c r="E1" s="23"/>
      <c r="F1" s="23"/>
      <c r="G1" s="23"/>
      <c r="H1" s="23"/>
      <c r="I1" s="23"/>
    </row>
    <row r="2" spans="2:9" x14ac:dyDescent="0.25">
      <c r="B2" s="12"/>
      <c r="D2" s="23"/>
      <c r="E2" s="23"/>
      <c r="F2" s="23"/>
      <c r="G2" s="23"/>
      <c r="H2" s="23"/>
      <c r="I2" s="23"/>
    </row>
    <row r="3" spans="2:9" x14ac:dyDescent="0.25">
      <c r="B3" s="14" t="s">
        <v>59</v>
      </c>
    </row>
    <row r="4" spans="2:9" x14ac:dyDescent="0.25">
      <c r="B4" s="13" t="s">
        <v>60</v>
      </c>
    </row>
    <row r="6" spans="2:9" x14ac:dyDescent="0.25">
      <c r="B6" s="15" t="s">
        <v>61</v>
      </c>
    </row>
    <row r="7" spans="2:9" x14ac:dyDescent="0.25">
      <c r="B7" s="16" t="s">
        <v>62</v>
      </c>
    </row>
    <row r="9" spans="2:9" x14ac:dyDescent="0.25">
      <c r="B9" s="17" t="s">
        <v>63</v>
      </c>
    </row>
    <row r="10" spans="2:9" x14ac:dyDescent="0.25">
      <c r="B10" s="18" t="s">
        <v>64</v>
      </c>
    </row>
    <row r="12" spans="2:9" x14ac:dyDescent="0.25">
      <c r="B12" s="21" t="s">
        <v>86</v>
      </c>
    </row>
  </sheetData>
  <mergeCells count="1">
    <mergeCell ref="D1:I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Sales</vt:lpstr>
      <vt:lpstr>Coverage</vt:lpstr>
      <vt:lpstr>Traffic</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عمر ابراهيم محمد كامل بسيونى محمد</cp:lastModifiedBy>
  <dcterms:created xsi:type="dcterms:W3CDTF">2025-08-15T08:28:28Z</dcterms:created>
  <dcterms:modified xsi:type="dcterms:W3CDTF">2026-07-18T23:17:37Z</dcterms:modified>
</cp:coreProperties>
</file>